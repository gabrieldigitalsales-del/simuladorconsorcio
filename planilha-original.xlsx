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Nawana\Desktop\Nawana\"/>
    </mc:Choice>
  </mc:AlternateContent>
  <xr:revisionPtr revIDLastSave="0" documentId="13_ncr:1_{F580E703-0AEE-4C00-BB48-65C54C6B72AE}" xr6:coauthVersionLast="46" xr6:coauthVersionMax="47" xr10:uidLastSave="{00000000-0000-0000-0000-000000000000}"/>
  <bookViews>
    <workbookView xWindow="-107" yWindow="-107" windowWidth="20847" windowHeight="11208" xr2:uid="{93216B23-C741-4598-BB63-ADDC1B73B4F7}"/>
  </bookViews>
  <sheets>
    <sheet name="Planilha1" sheetId="1" r:id="rId1"/>
    <sheet name="Planilha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83" i="2" l="1"/>
  <c r="G212" i="2"/>
  <c r="K183" i="2"/>
  <c r="K170" i="2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58" i="2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46" i="2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34" i="2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22" i="2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10" i="2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98" i="2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86" i="2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74" i="2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64" i="2"/>
  <c r="K65" i="2"/>
  <c r="K66" i="2"/>
  <c r="K67" i="2"/>
  <c r="K68" i="2" s="1"/>
  <c r="K69" i="2" s="1"/>
  <c r="K70" i="2" s="1"/>
  <c r="K71" i="2" s="1"/>
  <c r="K72" i="2" s="1"/>
  <c r="K73" i="2" s="1"/>
  <c r="K63" i="2"/>
  <c r="K62" i="2"/>
  <c r="K52" i="2"/>
  <c r="K53" i="2" s="1"/>
  <c r="K54" i="2" s="1"/>
  <c r="K55" i="2" s="1"/>
  <c r="K56" i="2" s="1"/>
  <c r="K57" i="2" s="1"/>
  <c r="K58" i="2" s="1"/>
  <c r="K59" i="2" s="1"/>
  <c r="K60" i="2" s="1"/>
  <c r="K61" i="2" s="1"/>
  <c r="K51" i="2"/>
  <c r="K50" i="2"/>
  <c r="K40" i="2"/>
  <c r="K41" i="2"/>
  <c r="K42" i="2"/>
  <c r="K43" i="2"/>
  <c r="K44" i="2"/>
  <c r="K45" i="2"/>
  <c r="K46" i="2"/>
  <c r="K47" i="2"/>
  <c r="K48" i="2" s="1"/>
  <c r="K49" i="2" s="1"/>
  <c r="K39" i="2"/>
  <c r="K38" i="2"/>
  <c r="K28" i="2"/>
  <c r="K29" i="2" s="1"/>
  <c r="K30" i="2" s="1"/>
  <c r="K31" i="2" s="1"/>
  <c r="K32" i="2" s="1"/>
  <c r="K33" i="2" s="1"/>
  <c r="K34" i="2" s="1"/>
  <c r="K35" i="2" s="1"/>
  <c r="K36" i="2" s="1"/>
  <c r="K37" i="2" s="1"/>
  <c r="K27" i="2"/>
  <c r="K26" i="2"/>
  <c r="K16" i="2"/>
  <c r="K17" i="2" s="1"/>
  <c r="K18" i="2" s="1"/>
  <c r="K19" i="2" s="1"/>
  <c r="K20" i="2" s="1"/>
  <c r="K21" i="2" s="1"/>
  <c r="K22" i="2" s="1"/>
  <c r="K23" i="2" s="1"/>
  <c r="K24" i="2" s="1"/>
  <c r="K25" i="2" s="1"/>
  <c r="K15" i="2"/>
  <c r="K14" i="2"/>
  <c r="K3" i="2"/>
  <c r="K4" i="2"/>
  <c r="K5" i="2"/>
  <c r="K6" i="2"/>
  <c r="K7" i="2"/>
  <c r="K8" i="2"/>
  <c r="K9" i="2"/>
  <c r="K10" i="2"/>
  <c r="K11" i="2"/>
  <c r="K12" i="2"/>
  <c r="K13" i="2"/>
  <c r="K2" i="2"/>
</calcChain>
</file>

<file path=xl/sharedStrings.xml><?xml version="1.0" encoding="utf-8"?>
<sst xmlns="http://schemas.openxmlformats.org/spreadsheetml/2006/main" count="69" uniqueCount="62">
  <si>
    <t>Consórcio</t>
  </si>
  <si>
    <t>Parcela até Contemplação</t>
  </si>
  <si>
    <t>Prazo</t>
  </si>
  <si>
    <t>Embracon</t>
  </si>
  <si>
    <t>Primeira Parcela</t>
  </si>
  <si>
    <t>N. Parc</t>
  </si>
  <si>
    <t>Venc</t>
  </si>
  <si>
    <t>AMORTIZAÇAO</t>
  </si>
  <si>
    <t>JUROS</t>
  </si>
  <si>
    <t>MIP</t>
  </si>
  <si>
    <t>DFI</t>
  </si>
  <si>
    <t>VALOR TOTAL</t>
  </si>
  <si>
    <t>SALDO DEVEDOR</t>
  </si>
  <si>
    <t>PARC CONS</t>
  </si>
  <si>
    <t>PROJ INCC</t>
  </si>
  <si>
    <t>PARC REAJUSTADA</t>
  </si>
  <si>
    <t>Tx Adm</t>
  </si>
  <si>
    <t>Fundo Reserva</t>
  </si>
  <si>
    <t>Seguro Prestamista</t>
  </si>
  <si>
    <t>Valor do Crédito Líquido</t>
  </si>
  <si>
    <t>Valor total das Carta</t>
  </si>
  <si>
    <t>Lance Adicional</t>
  </si>
  <si>
    <t>Servopa</t>
  </si>
  <si>
    <t>Lance Embutido %</t>
  </si>
  <si>
    <t>Lance Embutido Valor</t>
  </si>
  <si>
    <t>CENÁRIO</t>
  </si>
  <si>
    <t>Total do Lance %</t>
  </si>
  <si>
    <t>Total do Lance Valor</t>
  </si>
  <si>
    <t>Qtde Cartas</t>
  </si>
  <si>
    <t>200 meses</t>
  </si>
  <si>
    <t>Tx Adesão/Antecipada</t>
  </si>
  <si>
    <t>Taxa total a ser paga</t>
  </si>
  <si>
    <t>Número de participantes grupo</t>
  </si>
  <si>
    <t>20.8%</t>
  </si>
  <si>
    <t>(1 + 11) R$12.852,00</t>
  </si>
  <si>
    <t>(Sendo contemplado dentro das 12 primeiras ou após, sua parcela irá aumentar R$1.758,79) Se contemplado nas 12 primeiras sua parcela fica =   R$ 14.610,79. Caso seja contemplado da 13° em diante, sua parcela fica = R$ 11.810,79.</t>
  </si>
  <si>
    <t>Embracon - Cenário 1</t>
  </si>
  <si>
    <t>Embracon - Cenário 2</t>
  </si>
  <si>
    <t>Embracon - Cenário 3</t>
  </si>
  <si>
    <t>Servopa - Cenário 1</t>
  </si>
  <si>
    <t>42.19%</t>
  </si>
  <si>
    <t xml:space="preserve">Servopa  </t>
  </si>
  <si>
    <t>Servopa - Cenário 2</t>
  </si>
  <si>
    <t>Após contemplado = R$ 1.288,06</t>
  </si>
  <si>
    <t>Parcela após a Contemplação</t>
  </si>
  <si>
    <t>120 meses</t>
  </si>
  <si>
    <t>150 meses</t>
  </si>
  <si>
    <t>180 meses</t>
  </si>
  <si>
    <t>Após contemplado = R$ 1.326,52</t>
  </si>
  <si>
    <t>Após contemplado = R$ 1.360,96</t>
  </si>
  <si>
    <t>Servopa - Cenário 3</t>
  </si>
  <si>
    <t>Consórcio Magalu</t>
  </si>
  <si>
    <t>239 meses</t>
  </si>
  <si>
    <t>Magalu</t>
  </si>
  <si>
    <t>Considerando contemplação na 5° parcela, saldo devedor da sua operação total do início ao fim será de:                     (Obs.: não estamos considerando o INCC, que é feito anualmente encima do saldo devedor)</t>
  </si>
  <si>
    <r>
      <t xml:space="preserve">Considerando que a administradora não cobra o seguro obrigatório                     Valor total a ser pago:    </t>
    </r>
    <r>
      <rPr>
        <b/>
        <sz val="11"/>
        <color theme="1"/>
        <rFont val="Aptos Narrow"/>
        <scheme val="minor"/>
      </rPr>
      <t>R$2.273.205,26</t>
    </r>
  </si>
  <si>
    <t>Considerando que a administradora não cobra o seguro obrigatório                     Valor total a ser pago:            R$2.329.205,26</t>
  </si>
  <si>
    <t>Considerando que a administradora não cobra o seguro obrigatório Valor total a ser pago:              R$2.385.203,26</t>
  </si>
  <si>
    <r>
      <t xml:space="preserve">Obs.: sua parcela após contemplado, corrigindo seguro e abatimento de lance, será = </t>
    </r>
    <r>
      <rPr>
        <b/>
        <sz val="11"/>
        <color theme="1"/>
        <rFont val="Aptos Narrow"/>
        <scheme val="minor"/>
      </rPr>
      <t>R$16.697,06</t>
    </r>
    <r>
      <rPr>
        <sz val="11"/>
        <color theme="1"/>
        <rFont val="Aptos Narrow"/>
        <family val="2"/>
        <scheme val="minor"/>
      </rPr>
      <t xml:space="preserve">. (vezes 114 meses = saldo devedor de </t>
    </r>
    <r>
      <rPr>
        <b/>
        <sz val="11"/>
        <color theme="1"/>
        <rFont val="Aptos Narrow"/>
        <scheme val="minor"/>
      </rPr>
      <t>R$1.984.227,00</t>
    </r>
    <r>
      <rPr>
        <sz val="11"/>
        <color theme="1"/>
        <rFont val="Aptos Narrow"/>
        <family val="2"/>
        <scheme val="minor"/>
      </rPr>
      <t xml:space="preserve">)  Neste formato, você já estará segurado, podendo ainda tentar recorrer e solicitar o cancelamento do mesmo, abaixando ainda mais o valor da sua parcela e seu saldo devedor. Ou seja, valor total da sua operação será de:                           </t>
    </r>
    <r>
      <rPr>
        <b/>
        <sz val="11"/>
        <color theme="1"/>
        <rFont val="Aptos Narrow"/>
        <scheme val="minor"/>
      </rPr>
      <t>R$1.984.227,00</t>
    </r>
  </si>
  <si>
    <r>
      <t xml:space="preserve">Obs.: sua parcela após contemplado, corrigindo seguro e abatimento de lance, será = </t>
    </r>
    <r>
      <rPr>
        <b/>
        <sz val="11"/>
        <color theme="1"/>
        <rFont val="Aptos Narrow"/>
        <scheme val="minor"/>
      </rPr>
      <t>R$13.926,52</t>
    </r>
    <r>
      <rPr>
        <sz val="11"/>
        <color theme="1"/>
        <rFont val="Aptos Narrow"/>
        <family val="2"/>
        <scheme val="minor"/>
      </rPr>
      <t xml:space="preserve">. (vezes 144 meses = saldo devedor de </t>
    </r>
    <r>
      <rPr>
        <b/>
        <sz val="11"/>
        <color theme="1"/>
        <rFont val="Aptos Narrow"/>
        <scheme val="minor"/>
      </rPr>
      <t>R$2.071.744,44</t>
    </r>
    <r>
      <rPr>
        <sz val="11"/>
        <color theme="1"/>
        <rFont val="Aptos Narrow"/>
        <family val="2"/>
        <scheme val="minor"/>
      </rPr>
      <t xml:space="preserve">)  Neste formato, você já estará segurado, podendo ainda tentar recorrer e solicitar o cancelamento do mesmo, abaixando ainda mais o valor da sua parcela e seu saldo devedor. Ou seja, o valor total da sua operação será de:                                                           </t>
    </r>
    <r>
      <rPr>
        <b/>
        <sz val="11"/>
        <color theme="1"/>
        <rFont val="Aptos Narrow"/>
        <scheme val="minor"/>
      </rPr>
      <t>R$2.071.744,44</t>
    </r>
  </si>
  <si>
    <r>
      <t xml:space="preserve">Obs.: sua parcela após contemplado, corrigindo seguro e abatimento de lance, será = </t>
    </r>
    <r>
      <rPr>
        <b/>
        <sz val="11"/>
        <color theme="1"/>
        <rFont val="Aptos Narrow"/>
        <scheme val="minor"/>
      </rPr>
      <t>R$12.664,91</t>
    </r>
    <r>
      <rPr>
        <sz val="11"/>
        <color theme="1"/>
        <rFont val="Aptos Narrow"/>
        <family val="2"/>
        <scheme val="minor"/>
      </rPr>
      <t xml:space="preserve">. (vezes 174 meses = saldo devedor de </t>
    </r>
    <r>
      <rPr>
        <b/>
        <sz val="11"/>
        <color theme="1"/>
        <rFont val="Aptos Narrow"/>
        <scheme val="minor"/>
      </rPr>
      <t>R$2.260.406,94</t>
    </r>
    <r>
      <rPr>
        <sz val="11"/>
        <color theme="1"/>
        <rFont val="Aptos Narrow"/>
        <family val="2"/>
        <scheme val="minor"/>
      </rPr>
      <t xml:space="preserve">)  Neste formato, você já estará segurado, podendo ainda tentar recorrer e solicitar o cancelamento do mesmo, abaixando ainda mais o valor da sua parcela e seu saldo devedor. Ou sedja, o valor total da sua operação será de:               </t>
    </r>
    <r>
      <rPr>
        <b/>
        <sz val="11"/>
        <color theme="1"/>
        <rFont val="Aptos Narrow"/>
        <scheme val="minor"/>
      </rPr>
      <t>R$2.260.406,94</t>
    </r>
  </si>
  <si>
    <t>Considerando que a administradora não cobra o seguro obrigatório                     Valor total a ser pago:                         R$2.285.513,00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</si>
</sst>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1DB8B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4" fontId="0" fillId="0" borderId="0" xfId="0" applyNumberFormat="1"/>
    <xf numFmtId="14" fontId="0" fillId="0" borderId="0" xfId="0" applyNumberFormat="1"/>
    <xf numFmtId="10" fontId="0" fillId="0" borderId="0" xfId="0" applyNumberFormat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/>
    <xf numFmtId="0" fontId="1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4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2" borderId="1" xfId="1" applyFont="1" applyFill="1" applyBorder="1" applyAlignment="1">
      <alignment horizontal="center" vertical="center"/>
    </xf>
    <xf numFmtId="3" fontId="0" fillId="2" borderId="1" xfId="1" applyNumberFormat="1" applyFont="1" applyFill="1" applyBorder="1" applyAlignment="1">
      <alignment horizontal="center" vertical="center"/>
    </xf>
    <xf numFmtId="44" fontId="0" fillId="2" borderId="1" xfId="1" applyFont="1" applyFill="1" applyBorder="1"/>
    <xf numFmtId="3" fontId="0" fillId="2" borderId="1" xfId="0" applyNumberFormat="1" applyFill="1" applyBorder="1" applyAlignment="1">
      <alignment horizontal="center" vertical="center"/>
    </xf>
    <xf numFmtId="44" fontId="0" fillId="3" borderId="1" xfId="1" applyFont="1" applyFill="1" applyBorder="1"/>
    <xf numFmtId="44" fontId="0" fillId="3" borderId="1" xfId="1" applyFont="1" applyFill="1" applyBorder="1" applyAlignment="1">
      <alignment vertical="center"/>
    </xf>
    <xf numFmtId="44" fontId="0" fillId="3" borderId="1" xfId="1" applyFont="1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44" fontId="0" fillId="6" borderId="1" xfId="1" applyFont="1" applyFill="1" applyBorder="1" applyAlignment="1"/>
    <xf numFmtId="4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9" fontId="0" fillId="3" borderId="3" xfId="2" applyNumberFormat="1" applyFont="1" applyFill="1" applyBorder="1" applyAlignment="1">
      <alignment horizontal="center" vertical="center"/>
    </xf>
    <xf numFmtId="10" fontId="0" fillId="3" borderId="1" xfId="2" applyNumberFormat="1" applyFont="1" applyFill="1" applyBorder="1" applyAlignment="1">
      <alignment horizontal="center" vertical="center"/>
    </xf>
    <xf numFmtId="9" fontId="0" fillId="3" borderId="1" xfId="2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10" fontId="0" fillId="7" borderId="1" xfId="0" applyNumberFormat="1" applyFill="1" applyBorder="1" applyAlignment="1">
      <alignment horizontal="center" vertical="center"/>
    </xf>
    <xf numFmtId="4" fontId="0" fillId="7" borderId="1" xfId="0" applyNumberFormat="1" applyFill="1" applyBorder="1" applyAlignment="1">
      <alignment horizontal="center" vertical="center"/>
    </xf>
    <xf numFmtId="44" fontId="0" fillId="7" borderId="1" xfId="1" applyFont="1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/>
    </xf>
    <xf numFmtId="4" fontId="0" fillId="2" borderId="1" xfId="0" applyNumberFormat="1" applyFill="1" applyBorder="1" applyAlignment="1">
      <alignment horizontal="center"/>
    </xf>
    <xf numFmtId="10" fontId="0" fillId="6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44" fontId="0" fillId="2" borderId="1" xfId="1" applyFont="1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1D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62340-8620-42F3-8443-F615066A2A3D}">
  <dimension ref="A1:H21"/>
  <sheetViews>
    <sheetView tabSelected="1" topLeftCell="A19" workbookViewId="0">
      <selection activeCell="I21" sqref="I21"/>
    </sheetView>
  </sheetViews>
  <sheetFormatPr defaultRowHeight="13.45"/>
  <cols>
    <col min="1" max="1" width="25.08984375" customWidth="1"/>
    <col min="2" max="2" width="20.81640625" style="15" customWidth="1"/>
    <col min="3" max="3" width="24.6328125" customWidth="1"/>
    <col min="4" max="4" width="41.08984375" customWidth="1"/>
    <col min="5" max="5" width="48" customWidth="1"/>
    <col min="6" max="6" width="49.08984375" customWidth="1"/>
    <col min="7" max="7" width="46.36328125" customWidth="1"/>
    <col min="8" max="8" width="30.54296875" customWidth="1"/>
    <col min="9" max="9" width="26.6328125" customWidth="1"/>
    <col min="10" max="10" width="28.36328125" customWidth="1"/>
    <col min="11" max="11" width="25.08984375" bestFit="1" customWidth="1"/>
    <col min="12" max="12" width="28.54296875" customWidth="1"/>
    <col min="13" max="13" width="11.6328125" bestFit="1" customWidth="1"/>
  </cols>
  <sheetData>
    <row r="1" spans="1:8" ht="14">
      <c r="A1" s="6" t="s">
        <v>25</v>
      </c>
      <c r="B1" s="8" t="s">
        <v>36</v>
      </c>
      <c r="C1" s="8" t="s">
        <v>37</v>
      </c>
      <c r="D1" s="8" t="s">
        <v>38</v>
      </c>
      <c r="E1" s="8" t="s">
        <v>39</v>
      </c>
      <c r="F1" s="8" t="s">
        <v>42</v>
      </c>
      <c r="G1" s="8" t="s">
        <v>50</v>
      </c>
      <c r="H1" s="37" t="s">
        <v>51</v>
      </c>
    </row>
    <row r="2" spans="1:8">
      <c r="A2" s="7" t="s">
        <v>20</v>
      </c>
      <c r="B2" s="10">
        <v>2800000</v>
      </c>
      <c r="C2" s="10">
        <v>2800000</v>
      </c>
      <c r="D2" s="10">
        <v>2800000</v>
      </c>
      <c r="E2" s="31">
        <v>2871238</v>
      </c>
      <c r="F2" s="31">
        <v>2871238</v>
      </c>
      <c r="G2" s="31">
        <v>2871238</v>
      </c>
      <c r="H2" s="31">
        <v>2800000</v>
      </c>
    </row>
    <row r="3" spans="1:8">
      <c r="A3" s="7" t="s">
        <v>19</v>
      </c>
      <c r="B3" s="10">
        <v>2100000</v>
      </c>
      <c r="C3" s="10">
        <v>2100000</v>
      </c>
      <c r="D3" s="10">
        <v>2100000</v>
      </c>
      <c r="E3" s="31">
        <v>2008867</v>
      </c>
      <c r="F3" s="31">
        <v>2008867</v>
      </c>
      <c r="G3" s="31">
        <v>2008867</v>
      </c>
      <c r="H3" s="31">
        <v>2100000</v>
      </c>
    </row>
    <row r="4" spans="1:8">
      <c r="A4" s="7" t="s">
        <v>2</v>
      </c>
      <c r="B4" s="11" t="s">
        <v>29</v>
      </c>
      <c r="C4" s="11" t="s">
        <v>29</v>
      </c>
      <c r="D4" s="11" t="s">
        <v>29</v>
      </c>
      <c r="E4" s="29" t="s">
        <v>45</v>
      </c>
      <c r="F4" s="29" t="s">
        <v>46</v>
      </c>
      <c r="G4" s="29" t="s">
        <v>47</v>
      </c>
      <c r="H4" s="29" t="s">
        <v>52</v>
      </c>
    </row>
    <row r="5" spans="1:8">
      <c r="A5" s="7" t="s">
        <v>23</v>
      </c>
      <c r="B5" s="12">
        <v>0.25</v>
      </c>
      <c r="C5" s="12">
        <v>0.25</v>
      </c>
      <c r="D5" s="12">
        <v>0.25</v>
      </c>
      <c r="E5" s="27">
        <v>0.3</v>
      </c>
      <c r="F5" s="27">
        <v>0.3</v>
      </c>
      <c r="G5" s="27">
        <v>0.3</v>
      </c>
      <c r="H5" s="27">
        <v>0.25</v>
      </c>
    </row>
    <row r="6" spans="1:8">
      <c r="A6" s="7" t="s">
        <v>24</v>
      </c>
      <c r="B6" s="10">
        <v>700000</v>
      </c>
      <c r="C6" s="10">
        <v>700000</v>
      </c>
      <c r="D6" s="10">
        <v>700000</v>
      </c>
      <c r="E6" s="31">
        <v>861371</v>
      </c>
      <c r="F6" s="31">
        <v>861371</v>
      </c>
      <c r="G6" s="31">
        <v>861371</v>
      </c>
      <c r="H6" s="31">
        <v>700000</v>
      </c>
    </row>
    <row r="7" spans="1:8">
      <c r="A7" s="7" t="s">
        <v>21</v>
      </c>
      <c r="B7" s="10">
        <v>350000</v>
      </c>
      <c r="C7" s="10">
        <v>350000</v>
      </c>
      <c r="D7" s="10">
        <v>350000</v>
      </c>
      <c r="E7" s="31">
        <v>350000</v>
      </c>
      <c r="F7" s="31">
        <v>350000</v>
      </c>
      <c r="G7" s="31">
        <v>350000</v>
      </c>
      <c r="H7" s="31">
        <v>350000</v>
      </c>
    </row>
    <row r="8" spans="1:8">
      <c r="A8" s="7" t="s">
        <v>27</v>
      </c>
      <c r="B8" s="10">
        <v>1050000</v>
      </c>
      <c r="C8" s="10">
        <v>1050000</v>
      </c>
      <c r="D8" s="10">
        <v>1050000</v>
      </c>
      <c r="E8" s="31">
        <v>1211371</v>
      </c>
      <c r="F8" s="31">
        <v>1211371</v>
      </c>
      <c r="G8" s="31">
        <v>1211371</v>
      </c>
      <c r="H8" s="31">
        <v>1050000</v>
      </c>
    </row>
    <row r="9" spans="1:8">
      <c r="A9" s="7" t="s">
        <v>26</v>
      </c>
      <c r="B9" s="12">
        <v>0.375</v>
      </c>
      <c r="C9" s="12">
        <v>0.375</v>
      </c>
      <c r="D9" s="12">
        <v>0.375</v>
      </c>
      <c r="E9" s="28" t="s">
        <v>40</v>
      </c>
      <c r="F9" s="28" t="s">
        <v>40</v>
      </c>
      <c r="G9" s="28" t="s">
        <v>40</v>
      </c>
      <c r="H9" s="45">
        <v>0.375</v>
      </c>
    </row>
    <row r="10" spans="1:8">
      <c r="A10" s="7" t="s">
        <v>0</v>
      </c>
      <c r="B10" s="9" t="s">
        <v>3</v>
      </c>
      <c r="C10" s="4" t="s">
        <v>3</v>
      </c>
      <c r="D10" s="4" t="s">
        <v>3</v>
      </c>
      <c r="E10" s="5" t="s">
        <v>41</v>
      </c>
      <c r="F10" s="30" t="s">
        <v>22</v>
      </c>
      <c r="G10" s="5" t="s">
        <v>22</v>
      </c>
      <c r="H10" s="38" t="s">
        <v>53</v>
      </c>
    </row>
    <row r="11" spans="1:8">
      <c r="A11" s="7" t="s">
        <v>28</v>
      </c>
      <c r="B11" s="9">
        <v>2</v>
      </c>
      <c r="C11" s="4">
        <v>2</v>
      </c>
      <c r="D11" s="4">
        <v>2</v>
      </c>
      <c r="E11" s="5">
        <v>2</v>
      </c>
      <c r="F11" s="30">
        <v>2</v>
      </c>
      <c r="G11" s="5">
        <v>2</v>
      </c>
      <c r="H11" s="38">
        <v>4</v>
      </c>
    </row>
    <row r="12" spans="1:8">
      <c r="A12" s="7" t="s">
        <v>16</v>
      </c>
      <c r="B12" s="13">
        <v>0.16</v>
      </c>
      <c r="C12" s="43">
        <v>0.19</v>
      </c>
      <c r="D12" s="13" t="s">
        <v>33</v>
      </c>
      <c r="E12" s="23">
        <v>0.08</v>
      </c>
      <c r="F12" s="34">
        <v>0.11</v>
      </c>
      <c r="G12" s="23">
        <v>0.14000000000000001</v>
      </c>
      <c r="H12" s="39">
        <v>0.18</v>
      </c>
    </row>
    <row r="13" spans="1:8">
      <c r="A13" s="7" t="s">
        <v>17</v>
      </c>
      <c r="B13" s="13">
        <v>0.02</v>
      </c>
      <c r="C13" s="43">
        <v>0.02</v>
      </c>
      <c r="D13" s="13">
        <v>0.02</v>
      </c>
      <c r="E13" s="23">
        <v>5.0000000000000001E-3</v>
      </c>
      <c r="F13" s="35">
        <v>5.0000000000000001E-3</v>
      </c>
      <c r="G13" s="23">
        <v>5.0000000000000001E-3</v>
      </c>
      <c r="H13" s="39">
        <v>0.01</v>
      </c>
    </row>
    <row r="14" spans="1:8">
      <c r="A14" s="7" t="s">
        <v>30</v>
      </c>
      <c r="B14" s="13">
        <v>0.02</v>
      </c>
      <c r="C14" s="43">
        <v>0.01</v>
      </c>
      <c r="D14" s="13">
        <v>1.2200000000000001E-2</v>
      </c>
      <c r="E14" s="23">
        <v>0.04</v>
      </c>
      <c r="F14" s="36">
        <v>0.04</v>
      </c>
      <c r="G14" s="23">
        <v>0.04</v>
      </c>
      <c r="H14" s="39">
        <v>0</v>
      </c>
    </row>
    <row r="15" spans="1:8">
      <c r="A15" s="7" t="s">
        <v>31</v>
      </c>
      <c r="B15" s="13">
        <v>0.2</v>
      </c>
      <c r="C15" s="43">
        <v>0.22</v>
      </c>
      <c r="D15" s="13">
        <v>0.24</v>
      </c>
      <c r="E15" s="23">
        <v>0.125</v>
      </c>
      <c r="F15" s="35">
        <v>0.155</v>
      </c>
      <c r="G15" s="23">
        <v>0.185</v>
      </c>
      <c r="H15" s="39">
        <v>0.19</v>
      </c>
    </row>
    <row r="16" spans="1:8">
      <c r="A16" s="7" t="s">
        <v>18</v>
      </c>
      <c r="B16" s="14">
        <v>0</v>
      </c>
      <c r="C16" s="44">
        <v>0</v>
      </c>
      <c r="D16" s="9">
        <v>0</v>
      </c>
      <c r="E16" s="32" t="s">
        <v>43</v>
      </c>
      <c r="F16" s="32" t="s">
        <v>48</v>
      </c>
      <c r="G16" s="32" t="s">
        <v>49</v>
      </c>
      <c r="H16" s="40">
        <v>0</v>
      </c>
    </row>
    <row r="17" spans="1:8">
      <c r="A17" s="7" t="s">
        <v>4</v>
      </c>
      <c r="B17" s="16">
        <v>65380</v>
      </c>
      <c r="C17" s="18">
        <v>37800</v>
      </c>
      <c r="D17" s="16" t="s">
        <v>34</v>
      </c>
      <c r="E17" s="22">
        <v>13460.36</v>
      </c>
      <c r="F17" s="20">
        <v>11054.26</v>
      </c>
      <c r="G17" s="22">
        <v>9452.1</v>
      </c>
      <c r="H17" s="41">
        <v>8080</v>
      </c>
    </row>
    <row r="18" spans="1:8">
      <c r="A18" s="7" t="s">
        <v>1</v>
      </c>
      <c r="B18" s="16">
        <v>9380</v>
      </c>
      <c r="C18" s="18">
        <v>9800</v>
      </c>
      <c r="D18" s="18">
        <v>10052</v>
      </c>
      <c r="E18" s="22">
        <v>13460.36</v>
      </c>
      <c r="F18" s="20">
        <v>11054.26</v>
      </c>
      <c r="G18" s="22">
        <v>9452.1</v>
      </c>
      <c r="H18" s="41">
        <v>8080</v>
      </c>
    </row>
    <row r="19" spans="1:8" ht="75.8" customHeight="1">
      <c r="A19" s="24" t="s">
        <v>44</v>
      </c>
      <c r="B19" s="16">
        <v>11138.79</v>
      </c>
      <c r="C19" s="16">
        <v>11558.79</v>
      </c>
      <c r="D19" s="25" t="s">
        <v>35</v>
      </c>
      <c r="E19" s="22">
        <v>15409</v>
      </c>
      <c r="F19" s="21">
        <v>12600</v>
      </c>
      <c r="G19" s="22">
        <v>11303.95</v>
      </c>
      <c r="H19" s="41">
        <v>9601</v>
      </c>
    </row>
    <row r="20" spans="1:8">
      <c r="A20" s="7" t="s">
        <v>32</v>
      </c>
      <c r="B20" s="17">
        <v>5000</v>
      </c>
      <c r="C20" s="19">
        <v>5000</v>
      </c>
      <c r="D20" s="26">
        <v>5000</v>
      </c>
      <c r="E20" s="33">
        <v>3120</v>
      </c>
      <c r="F20" s="33">
        <v>3120</v>
      </c>
      <c r="G20" s="33">
        <v>3120</v>
      </c>
      <c r="H20" s="42">
        <v>4300</v>
      </c>
    </row>
    <row r="21" spans="1:8" ht="128.55000000000001" customHeight="1">
      <c r="A21" s="46" t="s">
        <v>54</v>
      </c>
      <c r="B21" s="48" t="s">
        <v>55</v>
      </c>
      <c r="C21" s="48" t="s">
        <v>56</v>
      </c>
      <c r="D21" s="48" t="s">
        <v>57</v>
      </c>
      <c r="E21" s="47" t="s">
        <v>58</v>
      </c>
      <c r="F21" s="47" t="s">
        <v>59</v>
      </c>
      <c r="G21" s="47" t="s">
        <v>60</v>
      </c>
      <c r="H21" s="49" t="s">
        <v>61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7AF9C-5728-470E-98CB-FEE4E6045268}">
  <dimension ref="A1:O212"/>
  <sheetViews>
    <sheetView topLeftCell="A166" workbookViewId="0">
      <selection activeCell="J183" sqref="J183"/>
    </sheetView>
  </sheetViews>
  <sheetFormatPr defaultRowHeight="13.45"/>
  <cols>
    <col min="1" max="1" width="7.453125" bestFit="1" customWidth="1"/>
    <col min="2" max="2" width="10.453125" bestFit="1" customWidth="1"/>
    <col min="3" max="3" width="13.90625" bestFit="1" customWidth="1"/>
    <col min="5" max="6" width="7" bestFit="1" customWidth="1"/>
    <col min="7" max="7" width="12.54296875" bestFit="1" customWidth="1"/>
    <col min="8" max="8" width="15.54296875" bestFit="1" customWidth="1"/>
    <col min="9" max="9" width="15.54296875" customWidth="1"/>
    <col min="10" max="11" width="11.6328125" bestFit="1" customWidth="1"/>
  </cols>
  <sheetData>
    <row r="1" spans="1:1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J1" t="s">
        <v>13</v>
      </c>
      <c r="K1" t="s">
        <v>15</v>
      </c>
      <c r="N1" t="s">
        <v>14</v>
      </c>
      <c r="O1" s="3">
        <v>3.5000000000000003E-2</v>
      </c>
    </row>
    <row r="2" spans="1:15">
      <c r="A2">
        <v>33</v>
      </c>
      <c r="B2" s="2">
        <v>46233</v>
      </c>
      <c r="C2" s="1">
        <v>9390.48</v>
      </c>
      <c r="D2" s="1">
        <v>16304.61</v>
      </c>
      <c r="E2">
        <v>857.56</v>
      </c>
      <c r="F2">
        <v>196.14</v>
      </c>
      <c r="G2" s="1">
        <v>26748.79</v>
      </c>
      <c r="H2" s="1">
        <v>1943828.96</v>
      </c>
      <c r="I2" s="1">
        <v>1</v>
      </c>
      <c r="J2" s="1">
        <v>12900</v>
      </c>
      <c r="K2" s="1">
        <f>J2</f>
        <v>12900</v>
      </c>
    </row>
    <row r="3" spans="1:15">
      <c r="A3">
        <v>34</v>
      </c>
      <c r="B3" s="2">
        <v>46264</v>
      </c>
      <c r="C3" s="1">
        <v>9390.48</v>
      </c>
      <c r="D3" s="1">
        <v>16226.22</v>
      </c>
      <c r="E3">
        <v>853.43</v>
      </c>
      <c r="F3">
        <v>196.14</v>
      </c>
      <c r="G3" s="1">
        <v>26666.27</v>
      </c>
      <c r="H3" s="1">
        <v>1934438.47</v>
      </c>
      <c r="I3" s="1">
        <v>2</v>
      </c>
      <c r="J3" s="1">
        <v>12900</v>
      </c>
      <c r="K3" s="1">
        <f t="shared" ref="K3:K13" si="0">J3</f>
        <v>12900</v>
      </c>
    </row>
    <row r="4" spans="1:15">
      <c r="A4">
        <v>35</v>
      </c>
      <c r="B4" s="2">
        <v>46295</v>
      </c>
      <c r="C4" s="1">
        <v>9390.48</v>
      </c>
      <c r="D4" s="1">
        <v>16147.83</v>
      </c>
      <c r="E4">
        <v>849.29</v>
      </c>
      <c r="F4">
        <v>196.14</v>
      </c>
      <c r="G4" s="1">
        <v>26583.74</v>
      </c>
      <c r="H4" s="1">
        <v>1925047.99</v>
      </c>
      <c r="I4" s="1">
        <v>3</v>
      </c>
      <c r="J4" s="1">
        <v>12900</v>
      </c>
      <c r="K4" s="1">
        <f t="shared" si="0"/>
        <v>12900</v>
      </c>
    </row>
    <row r="5" spans="1:15">
      <c r="A5">
        <v>36</v>
      </c>
      <c r="B5" s="2">
        <v>46325</v>
      </c>
      <c r="C5" s="1">
        <v>9390.48</v>
      </c>
      <c r="D5" s="1">
        <v>16069.45</v>
      </c>
      <c r="E5">
        <v>845.14</v>
      </c>
      <c r="F5">
        <v>196.14</v>
      </c>
      <c r="G5" s="1">
        <v>26501.21</v>
      </c>
      <c r="H5" s="1">
        <v>1915657.51</v>
      </c>
      <c r="I5" s="1">
        <v>4</v>
      </c>
      <c r="J5" s="1">
        <v>12900</v>
      </c>
      <c r="K5" s="1">
        <f t="shared" si="0"/>
        <v>12900</v>
      </c>
    </row>
    <row r="6" spans="1:15">
      <c r="A6">
        <v>37</v>
      </c>
      <c r="B6" s="2">
        <v>46356</v>
      </c>
      <c r="C6" s="1">
        <v>9390.48</v>
      </c>
      <c r="D6" s="1">
        <v>15991.06</v>
      </c>
      <c r="E6">
        <v>841</v>
      </c>
      <c r="F6">
        <v>196.14</v>
      </c>
      <c r="G6" s="1">
        <v>26418.68</v>
      </c>
      <c r="H6" s="1">
        <v>1906267.03</v>
      </c>
      <c r="I6" s="1">
        <v>5</v>
      </c>
      <c r="J6" s="1">
        <v>12900</v>
      </c>
      <c r="K6" s="1">
        <f t="shared" si="0"/>
        <v>12900</v>
      </c>
    </row>
    <row r="7" spans="1:15">
      <c r="A7">
        <v>38</v>
      </c>
      <c r="B7" s="2">
        <v>46386</v>
      </c>
      <c r="C7" s="1">
        <v>9390.48</v>
      </c>
      <c r="D7" s="1">
        <v>15912.67</v>
      </c>
      <c r="E7">
        <v>836.86</v>
      </c>
      <c r="F7">
        <v>196.14</v>
      </c>
      <c r="G7" s="1">
        <v>26336.15</v>
      </c>
      <c r="H7" s="1">
        <v>1896876.55</v>
      </c>
      <c r="I7" s="1">
        <v>6</v>
      </c>
      <c r="J7" s="1">
        <v>12900</v>
      </c>
      <c r="K7" s="1">
        <f t="shared" si="0"/>
        <v>12900</v>
      </c>
    </row>
    <row r="8" spans="1:15">
      <c r="A8">
        <v>39</v>
      </c>
      <c r="B8" s="2">
        <v>46417</v>
      </c>
      <c r="C8" s="1">
        <v>9390.48</v>
      </c>
      <c r="D8" s="1">
        <v>15834.28</v>
      </c>
      <c r="E8">
        <v>832.71</v>
      </c>
      <c r="F8">
        <v>196.14</v>
      </c>
      <c r="G8" s="1">
        <v>26253.61</v>
      </c>
      <c r="H8" s="1">
        <v>1887486.06</v>
      </c>
      <c r="I8" s="1">
        <v>7</v>
      </c>
      <c r="J8" s="1">
        <v>12900</v>
      </c>
      <c r="K8" s="1">
        <f t="shared" si="0"/>
        <v>12900</v>
      </c>
    </row>
    <row r="9" spans="1:15">
      <c r="A9">
        <v>40</v>
      </c>
      <c r="B9" s="2">
        <v>46446</v>
      </c>
      <c r="C9" s="1">
        <v>9390.48</v>
      </c>
      <c r="D9" s="1">
        <v>15755.9</v>
      </c>
      <c r="E9">
        <v>828.57</v>
      </c>
      <c r="F9">
        <v>196.14</v>
      </c>
      <c r="G9" s="1">
        <v>26171.09</v>
      </c>
      <c r="H9" s="1">
        <v>1878095.58</v>
      </c>
      <c r="I9" s="1">
        <v>8</v>
      </c>
      <c r="J9" s="1">
        <v>12900</v>
      </c>
      <c r="K9" s="1">
        <f t="shared" si="0"/>
        <v>12900</v>
      </c>
    </row>
    <row r="10" spans="1:15">
      <c r="A10">
        <v>41</v>
      </c>
      <c r="B10" s="2">
        <v>46476</v>
      </c>
      <c r="C10" s="1">
        <v>9390.48</v>
      </c>
      <c r="D10" s="1">
        <v>15677.51</v>
      </c>
      <c r="E10">
        <v>824.42</v>
      </c>
      <c r="F10">
        <v>196.14</v>
      </c>
      <c r="G10" s="1">
        <v>26088.55</v>
      </c>
      <c r="H10" s="1">
        <v>1868705.1</v>
      </c>
      <c r="I10" s="1">
        <v>9</v>
      </c>
      <c r="J10" s="1">
        <v>12900</v>
      </c>
      <c r="K10" s="1">
        <f t="shared" si="0"/>
        <v>12900</v>
      </c>
    </row>
    <row r="11" spans="1:15">
      <c r="A11">
        <v>42</v>
      </c>
      <c r="B11" s="2">
        <v>46507</v>
      </c>
      <c r="C11" s="1">
        <v>9390.48</v>
      </c>
      <c r="D11" s="1">
        <v>15599.12</v>
      </c>
      <c r="E11">
        <v>820.28</v>
      </c>
      <c r="F11">
        <v>196.14</v>
      </c>
      <c r="G11" s="1">
        <v>26006.02</v>
      </c>
      <c r="H11" s="1">
        <v>1859314.62</v>
      </c>
      <c r="I11" s="1">
        <v>10</v>
      </c>
      <c r="J11" s="1">
        <v>12900</v>
      </c>
      <c r="K11" s="1">
        <f t="shared" si="0"/>
        <v>12900</v>
      </c>
    </row>
    <row r="12" spans="1:15">
      <c r="A12">
        <v>43</v>
      </c>
      <c r="B12" s="2">
        <v>46537</v>
      </c>
      <c r="C12" s="1">
        <v>9390.48</v>
      </c>
      <c r="D12" s="1">
        <v>15520.73</v>
      </c>
      <c r="E12">
        <v>816.14</v>
      </c>
      <c r="F12">
        <v>196.14</v>
      </c>
      <c r="G12" s="1">
        <v>25923.49</v>
      </c>
      <c r="H12" s="1">
        <v>1849924.14</v>
      </c>
      <c r="I12" s="1">
        <v>11</v>
      </c>
      <c r="J12" s="1">
        <v>12900</v>
      </c>
      <c r="K12" s="1">
        <f t="shared" si="0"/>
        <v>12900</v>
      </c>
    </row>
    <row r="13" spans="1:15">
      <c r="A13">
        <v>44</v>
      </c>
      <c r="B13" s="2">
        <v>46568</v>
      </c>
      <c r="C13" s="1">
        <v>9390.48</v>
      </c>
      <c r="D13" s="1">
        <v>15442.35</v>
      </c>
      <c r="E13">
        <v>812</v>
      </c>
      <c r="F13">
        <v>196.14</v>
      </c>
      <c r="G13" s="1">
        <v>25840.97</v>
      </c>
      <c r="H13" s="1">
        <v>1840533.65</v>
      </c>
      <c r="I13" s="1">
        <v>12</v>
      </c>
      <c r="J13" s="1">
        <v>12900</v>
      </c>
      <c r="K13" s="1">
        <f t="shared" si="0"/>
        <v>12900</v>
      </c>
    </row>
    <row r="14" spans="1:15">
      <c r="A14">
        <v>45</v>
      </c>
      <c r="B14" s="2">
        <v>46598</v>
      </c>
      <c r="C14" s="1">
        <v>9390.48</v>
      </c>
      <c r="D14" s="1">
        <v>15363.96</v>
      </c>
      <c r="E14">
        <v>807.86</v>
      </c>
      <c r="F14">
        <v>196.14</v>
      </c>
      <c r="G14" s="1">
        <v>25758.44</v>
      </c>
      <c r="H14" s="1">
        <v>1831143.17</v>
      </c>
      <c r="I14" s="1">
        <v>13</v>
      </c>
      <c r="J14" s="1">
        <v>12900</v>
      </c>
      <c r="K14" s="1">
        <f>J13*(180-I13)*(1+O1)/(180-I13)</f>
        <v>13351.5</v>
      </c>
    </row>
    <row r="15" spans="1:15">
      <c r="A15">
        <v>46</v>
      </c>
      <c r="B15" s="2">
        <v>46629</v>
      </c>
      <c r="C15" s="1">
        <v>9390.48</v>
      </c>
      <c r="D15" s="1">
        <v>15285.57</v>
      </c>
      <c r="E15">
        <v>803.71</v>
      </c>
      <c r="F15">
        <v>196.14</v>
      </c>
      <c r="G15" s="1">
        <v>25675.9</v>
      </c>
      <c r="H15" s="1">
        <v>1821752.69</v>
      </c>
      <c r="I15" s="1">
        <v>14</v>
      </c>
      <c r="J15" s="1">
        <v>12900</v>
      </c>
      <c r="K15" s="1">
        <f>K14</f>
        <v>13351.5</v>
      </c>
    </row>
    <row r="16" spans="1:15">
      <c r="A16">
        <v>47</v>
      </c>
      <c r="B16" s="2">
        <v>46660</v>
      </c>
      <c r="C16" s="1">
        <v>9390.48</v>
      </c>
      <c r="D16" s="1">
        <v>15207.18</v>
      </c>
      <c r="E16">
        <v>799.57</v>
      </c>
      <c r="F16">
        <v>196.14</v>
      </c>
      <c r="G16" s="1">
        <v>25593.37</v>
      </c>
      <c r="H16" s="1">
        <v>1812362.21</v>
      </c>
      <c r="I16" s="1">
        <v>15</v>
      </c>
      <c r="J16" s="1">
        <v>12900</v>
      </c>
      <c r="K16" s="1">
        <f t="shared" ref="K16:K25" si="1">K15</f>
        <v>13351.5</v>
      </c>
    </row>
    <row r="17" spans="1:11">
      <c r="A17">
        <v>48</v>
      </c>
      <c r="B17" s="2">
        <v>46690</v>
      </c>
      <c r="C17" s="1">
        <v>9390.48</v>
      </c>
      <c r="D17" s="1">
        <v>15128.8</v>
      </c>
      <c r="E17">
        <v>795.43</v>
      </c>
      <c r="F17">
        <v>196.14</v>
      </c>
      <c r="G17" s="1">
        <v>25510.85</v>
      </c>
      <c r="H17" s="1">
        <v>1802971.72</v>
      </c>
      <c r="I17" s="1">
        <v>16</v>
      </c>
      <c r="J17" s="1">
        <v>12900</v>
      </c>
      <c r="K17" s="1">
        <f t="shared" si="1"/>
        <v>13351.5</v>
      </c>
    </row>
    <row r="18" spans="1:11">
      <c r="A18">
        <v>49</v>
      </c>
      <c r="B18" s="2">
        <v>46721</v>
      </c>
      <c r="C18" s="1">
        <v>9390.48</v>
      </c>
      <c r="D18" s="1">
        <v>15050.41</v>
      </c>
      <c r="E18">
        <v>791.28</v>
      </c>
      <c r="F18">
        <v>196.14</v>
      </c>
      <c r="G18" s="1">
        <v>25428.31</v>
      </c>
      <c r="H18" s="1">
        <v>1793581.24</v>
      </c>
      <c r="I18" s="1">
        <v>17</v>
      </c>
      <c r="J18" s="1">
        <v>12900</v>
      </c>
      <c r="K18" s="1">
        <f t="shared" si="1"/>
        <v>13351.5</v>
      </c>
    </row>
    <row r="19" spans="1:11">
      <c r="A19">
        <v>50</v>
      </c>
      <c r="B19" s="2">
        <v>46751</v>
      </c>
      <c r="C19" s="1">
        <v>9390.48</v>
      </c>
      <c r="D19" s="1">
        <v>14972.02</v>
      </c>
      <c r="E19">
        <v>787.14</v>
      </c>
      <c r="F19">
        <v>196.14</v>
      </c>
      <c r="G19" s="1">
        <v>25345.78</v>
      </c>
      <c r="H19" s="1">
        <v>1784190.76</v>
      </c>
      <c r="I19" s="1">
        <v>18</v>
      </c>
      <c r="J19" s="1">
        <v>12900</v>
      </c>
      <c r="K19" s="1">
        <f t="shared" si="1"/>
        <v>13351.5</v>
      </c>
    </row>
    <row r="20" spans="1:11">
      <c r="A20">
        <v>51</v>
      </c>
      <c r="B20" s="2">
        <v>46782</v>
      </c>
      <c r="C20" s="1">
        <v>9390.48</v>
      </c>
      <c r="D20" s="1">
        <v>14893.63</v>
      </c>
      <c r="E20">
        <v>782.99</v>
      </c>
      <c r="F20">
        <v>196.14</v>
      </c>
      <c r="G20" s="1">
        <v>25263.24</v>
      </c>
      <c r="H20" s="1">
        <v>1774800.28</v>
      </c>
      <c r="I20" s="1">
        <v>19</v>
      </c>
      <c r="J20" s="1">
        <v>12900</v>
      </c>
      <c r="K20" s="1">
        <f t="shared" si="1"/>
        <v>13351.5</v>
      </c>
    </row>
    <row r="21" spans="1:11">
      <c r="A21">
        <v>52</v>
      </c>
      <c r="B21" s="2">
        <v>46812</v>
      </c>
      <c r="C21" s="1">
        <v>9390.48</v>
      </c>
      <c r="D21" s="1">
        <v>14815.25</v>
      </c>
      <c r="E21">
        <v>778.85</v>
      </c>
      <c r="F21">
        <v>196.14</v>
      </c>
      <c r="G21" s="1">
        <v>25180.720000000001</v>
      </c>
      <c r="H21" s="1">
        <v>1765409.8</v>
      </c>
      <c r="I21" s="1">
        <v>20</v>
      </c>
      <c r="J21" s="1">
        <v>12900</v>
      </c>
      <c r="K21" s="1">
        <f t="shared" si="1"/>
        <v>13351.5</v>
      </c>
    </row>
    <row r="22" spans="1:11">
      <c r="A22">
        <v>53</v>
      </c>
      <c r="B22" s="2">
        <v>46842</v>
      </c>
      <c r="C22" s="1">
        <v>9390.48</v>
      </c>
      <c r="D22" s="1">
        <v>14736.86</v>
      </c>
      <c r="E22">
        <v>774.71</v>
      </c>
      <c r="F22">
        <v>196.14</v>
      </c>
      <c r="G22" s="1">
        <v>25098.19</v>
      </c>
      <c r="H22" s="1">
        <v>1756019.31</v>
      </c>
      <c r="I22" s="1">
        <v>21</v>
      </c>
      <c r="J22" s="1">
        <v>12900</v>
      </c>
      <c r="K22" s="1">
        <f t="shared" si="1"/>
        <v>13351.5</v>
      </c>
    </row>
    <row r="23" spans="1:11">
      <c r="A23">
        <v>54</v>
      </c>
      <c r="B23" s="2">
        <v>46873</v>
      </c>
      <c r="C23" s="1">
        <v>9390.48</v>
      </c>
      <c r="D23" s="1">
        <v>14658.47</v>
      </c>
      <c r="E23">
        <v>770.57</v>
      </c>
      <c r="F23">
        <v>196.14</v>
      </c>
      <c r="G23" s="1">
        <v>25015.66</v>
      </c>
      <c r="H23" s="1">
        <v>1746628.83</v>
      </c>
      <c r="I23" s="1">
        <v>22</v>
      </c>
      <c r="J23" s="1">
        <v>12900</v>
      </c>
      <c r="K23" s="1">
        <f t="shared" si="1"/>
        <v>13351.5</v>
      </c>
    </row>
    <row r="24" spans="1:11">
      <c r="A24">
        <v>55</v>
      </c>
      <c r="B24" s="2">
        <v>46903</v>
      </c>
      <c r="C24" s="1">
        <v>9390.48</v>
      </c>
      <c r="D24" s="1">
        <v>14580.08</v>
      </c>
      <c r="E24">
        <v>766.43</v>
      </c>
      <c r="F24">
        <v>196.14</v>
      </c>
      <c r="G24" s="1">
        <v>24933.13</v>
      </c>
      <c r="H24" s="1">
        <v>1737238.35</v>
      </c>
      <c r="I24" s="1">
        <v>23</v>
      </c>
      <c r="J24" s="1">
        <v>12900</v>
      </c>
      <c r="K24" s="1">
        <f t="shared" si="1"/>
        <v>13351.5</v>
      </c>
    </row>
    <row r="25" spans="1:11">
      <c r="A25">
        <v>56</v>
      </c>
      <c r="B25" s="2">
        <v>46934</v>
      </c>
      <c r="C25" s="1">
        <v>9390.48</v>
      </c>
      <c r="D25" s="1">
        <v>14501.69</v>
      </c>
      <c r="E25">
        <v>762.29</v>
      </c>
      <c r="F25">
        <v>196.14</v>
      </c>
      <c r="G25" s="1">
        <v>24850.6</v>
      </c>
      <c r="H25" s="1">
        <v>1727847.87</v>
      </c>
      <c r="I25" s="1">
        <v>24</v>
      </c>
      <c r="J25" s="1">
        <v>12900</v>
      </c>
      <c r="K25" s="1">
        <f t="shared" si="1"/>
        <v>13351.5</v>
      </c>
    </row>
    <row r="26" spans="1:11">
      <c r="A26">
        <v>57</v>
      </c>
      <c r="B26" s="2">
        <v>46964</v>
      </c>
      <c r="C26" s="1">
        <v>9390.48</v>
      </c>
      <c r="D26" s="1">
        <v>14423.31</v>
      </c>
      <c r="E26">
        <v>758.14</v>
      </c>
      <c r="F26">
        <v>196.14</v>
      </c>
      <c r="G26" s="1">
        <v>24768.07</v>
      </c>
      <c r="H26" s="1">
        <v>1718457.39</v>
      </c>
      <c r="I26" s="1">
        <v>25</v>
      </c>
      <c r="J26" s="1">
        <v>12900</v>
      </c>
      <c r="K26" s="1">
        <f>K25*(180-I25)*(1+$O$1)/(180-I25)</f>
        <v>13818.8025</v>
      </c>
    </row>
    <row r="27" spans="1:11">
      <c r="A27">
        <v>58</v>
      </c>
      <c r="B27" s="2">
        <v>46995</v>
      </c>
      <c r="C27" s="1">
        <v>9390.48</v>
      </c>
      <c r="D27" s="1">
        <v>14344.92</v>
      </c>
      <c r="E27">
        <v>754</v>
      </c>
      <c r="F27">
        <v>196.14</v>
      </c>
      <c r="G27" s="1">
        <v>24685.54</v>
      </c>
      <c r="H27" s="1">
        <v>1709066.9</v>
      </c>
      <c r="I27" s="1">
        <v>26</v>
      </c>
      <c r="J27" s="1">
        <v>12900</v>
      </c>
      <c r="K27" s="1">
        <f>K26</f>
        <v>13818.8025</v>
      </c>
    </row>
    <row r="28" spans="1:11">
      <c r="A28">
        <v>59</v>
      </c>
      <c r="B28" s="2">
        <v>47026</v>
      </c>
      <c r="C28" s="1">
        <v>9390.48</v>
      </c>
      <c r="D28" s="1">
        <v>14266.53</v>
      </c>
      <c r="E28">
        <v>749.85</v>
      </c>
      <c r="F28">
        <v>196.14</v>
      </c>
      <c r="G28" s="1">
        <v>24603</v>
      </c>
      <c r="H28" s="1">
        <v>1699676.42</v>
      </c>
      <c r="I28" s="1">
        <v>27</v>
      </c>
      <c r="J28" s="1">
        <v>12900</v>
      </c>
      <c r="K28" s="1">
        <f t="shared" ref="K28:K37" si="2">K27</f>
        <v>13818.8025</v>
      </c>
    </row>
    <row r="29" spans="1:11">
      <c r="A29">
        <v>60</v>
      </c>
      <c r="B29" s="2">
        <v>47056</v>
      </c>
      <c r="C29" s="1">
        <v>9390.48</v>
      </c>
      <c r="D29" s="1">
        <v>14188.14</v>
      </c>
      <c r="E29">
        <v>745.71</v>
      </c>
      <c r="F29">
        <v>196.14</v>
      </c>
      <c r="G29" s="1">
        <v>24520.47</v>
      </c>
      <c r="H29" s="1">
        <v>1690285.94</v>
      </c>
      <c r="I29" s="1">
        <v>28</v>
      </c>
      <c r="J29" s="1">
        <v>12900</v>
      </c>
      <c r="K29" s="1">
        <f t="shared" si="2"/>
        <v>13818.8025</v>
      </c>
    </row>
    <row r="30" spans="1:11">
      <c r="A30">
        <v>61</v>
      </c>
      <c r="B30" s="2">
        <v>47087</v>
      </c>
      <c r="C30" s="1">
        <v>9390.48</v>
      </c>
      <c r="D30" s="1">
        <v>14109.76</v>
      </c>
      <c r="E30">
        <v>741.57</v>
      </c>
      <c r="F30">
        <v>196.14</v>
      </c>
      <c r="G30" s="1">
        <v>24437.95</v>
      </c>
      <c r="H30" s="1">
        <v>1680895.46</v>
      </c>
      <c r="I30" s="1">
        <v>29</v>
      </c>
      <c r="J30" s="1">
        <v>12900</v>
      </c>
      <c r="K30" s="1">
        <f t="shared" si="2"/>
        <v>13818.8025</v>
      </c>
    </row>
    <row r="31" spans="1:11">
      <c r="A31">
        <v>62</v>
      </c>
      <c r="B31" s="2">
        <v>47117</v>
      </c>
      <c r="C31" s="1">
        <v>9390.48</v>
      </c>
      <c r="D31" s="1">
        <v>14031.37</v>
      </c>
      <c r="E31">
        <v>737.42</v>
      </c>
      <c r="F31">
        <v>196.14</v>
      </c>
      <c r="G31" s="1">
        <v>24355.41</v>
      </c>
      <c r="H31" s="1">
        <v>1671504.98</v>
      </c>
      <c r="I31" s="1">
        <v>30</v>
      </c>
      <c r="J31" s="1">
        <v>12900</v>
      </c>
      <c r="K31" s="1">
        <f t="shared" si="2"/>
        <v>13818.8025</v>
      </c>
    </row>
    <row r="32" spans="1:11">
      <c r="A32">
        <v>63</v>
      </c>
      <c r="B32" s="2">
        <v>47148</v>
      </c>
      <c r="C32" s="1">
        <v>9390.48</v>
      </c>
      <c r="D32" s="1">
        <v>13952.98</v>
      </c>
      <c r="E32">
        <v>733.29</v>
      </c>
      <c r="F32">
        <v>196.14</v>
      </c>
      <c r="G32" s="1">
        <v>24272.89</v>
      </c>
      <c r="H32" s="1">
        <v>1662114.49</v>
      </c>
      <c r="I32" s="1">
        <v>31</v>
      </c>
      <c r="J32" s="1">
        <v>12900</v>
      </c>
      <c r="K32" s="1">
        <f t="shared" si="2"/>
        <v>13818.8025</v>
      </c>
    </row>
    <row r="33" spans="1:11">
      <c r="A33">
        <v>64</v>
      </c>
      <c r="B33" s="2">
        <v>47177</v>
      </c>
      <c r="C33" s="1">
        <v>9390.48</v>
      </c>
      <c r="D33" s="1">
        <v>13874.59</v>
      </c>
      <c r="E33">
        <v>729.14</v>
      </c>
      <c r="F33">
        <v>196.14</v>
      </c>
      <c r="G33" s="1">
        <v>24190.35</v>
      </c>
      <c r="H33" s="1">
        <v>1652724.01</v>
      </c>
      <c r="I33" s="1">
        <v>32</v>
      </c>
      <c r="J33" s="1">
        <v>12900</v>
      </c>
      <c r="K33" s="1">
        <f t="shared" si="2"/>
        <v>13818.8025</v>
      </c>
    </row>
    <row r="34" spans="1:11">
      <c r="A34">
        <v>65</v>
      </c>
      <c r="B34" s="2">
        <v>47207</v>
      </c>
      <c r="C34" s="1">
        <v>9390.48</v>
      </c>
      <c r="D34" s="1">
        <v>13796.21</v>
      </c>
      <c r="E34">
        <v>725</v>
      </c>
      <c r="F34">
        <v>196.14</v>
      </c>
      <c r="G34" s="1">
        <v>24107.83</v>
      </c>
      <c r="H34" s="1">
        <v>1643333.53</v>
      </c>
      <c r="I34" s="1">
        <v>33</v>
      </c>
      <c r="J34" s="1">
        <v>12900</v>
      </c>
      <c r="K34" s="1">
        <f t="shared" si="2"/>
        <v>13818.8025</v>
      </c>
    </row>
    <row r="35" spans="1:11">
      <c r="A35">
        <v>66</v>
      </c>
      <c r="B35" s="2">
        <v>47238</v>
      </c>
      <c r="C35" s="1">
        <v>9390.48</v>
      </c>
      <c r="D35" s="1">
        <v>13717.82</v>
      </c>
      <c r="E35">
        <v>720.86</v>
      </c>
      <c r="F35">
        <v>196.14</v>
      </c>
      <c r="G35" s="1">
        <v>24025.3</v>
      </c>
      <c r="H35" s="1">
        <v>1633943.05</v>
      </c>
      <c r="I35" s="1">
        <v>34</v>
      </c>
      <c r="J35" s="1">
        <v>12900</v>
      </c>
      <c r="K35" s="1">
        <f t="shared" si="2"/>
        <v>13818.8025</v>
      </c>
    </row>
    <row r="36" spans="1:11">
      <c r="A36">
        <v>67</v>
      </c>
      <c r="B36" s="2">
        <v>47268</v>
      </c>
      <c r="C36" s="1">
        <v>9390.48</v>
      </c>
      <c r="D36" s="1">
        <v>13639.43</v>
      </c>
      <c r="E36">
        <v>716.71</v>
      </c>
      <c r="F36">
        <v>196.14</v>
      </c>
      <c r="G36" s="1">
        <v>23942.76</v>
      </c>
      <c r="H36" s="1">
        <v>1624552.57</v>
      </c>
      <c r="I36" s="1">
        <v>35</v>
      </c>
      <c r="J36" s="1">
        <v>12900</v>
      </c>
      <c r="K36" s="1">
        <f t="shared" si="2"/>
        <v>13818.8025</v>
      </c>
    </row>
    <row r="37" spans="1:11">
      <c r="A37">
        <v>68</v>
      </c>
      <c r="B37" s="2">
        <v>47299</v>
      </c>
      <c r="C37" s="1">
        <v>9390.48</v>
      </c>
      <c r="D37" s="1">
        <v>13561.04</v>
      </c>
      <c r="E37">
        <v>712.57</v>
      </c>
      <c r="F37">
        <v>196.14</v>
      </c>
      <c r="G37" s="1">
        <v>23860.23</v>
      </c>
      <c r="H37" s="1">
        <v>1615162.08</v>
      </c>
      <c r="I37" s="1">
        <v>36</v>
      </c>
      <c r="J37" s="1">
        <v>12900</v>
      </c>
      <c r="K37" s="1">
        <f t="shared" si="2"/>
        <v>13818.8025</v>
      </c>
    </row>
    <row r="38" spans="1:11">
      <c r="A38">
        <v>69</v>
      </c>
      <c r="B38" s="2">
        <v>47329</v>
      </c>
      <c r="C38" s="1">
        <v>9390.48</v>
      </c>
      <c r="D38" s="1">
        <v>13482.66</v>
      </c>
      <c r="E38">
        <v>708.42</v>
      </c>
      <c r="F38">
        <v>196.14</v>
      </c>
      <c r="G38" s="1">
        <v>23777.7</v>
      </c>
      <c r="H38" s="1">
        <v>1605771.6</v>
      </c>
      <c r="I38" s="1">
        <v>37</v>
      </c>
      <c r="J38" s="1">
        <v>12900</v>
      </c>
      <c r="K38" s="1">
        <f>K37*(180-I37)*(1+$O$1)/(180-I37)</f>
        <v>14302.4605875</v>
      </c>
    </row>
    <row r="39" spans="1:11">
      <c r="A39">
        <v>70</v>
      </c>
      <c r="B39" s="2">
        <v>47360</v>
      </c>
      <c r="C39" s="1">
        <v>9390.48</v>
      </c>
      <c r="D39" s="1">
        <v>13404.27</v>
      </c>
      <c r="E39">
        <v>704.28</v>
      </c>
      <c r="F39">
        <v>196.14</v>
      </c>
      <c r="G39" s="1">
        <v>23695.17</v>
      </c>
      <c r="H39" s="1">
        <v>1596381.12</v>
      </c>
      <c r="I39" s="1">
        <v>38</v>
      </c>
      <c r="J39" s="1">
        <v>12900</v>
      </c>
      <c r="K39" s="1">
        <f>K38</f>
        <v>14302.4605875</v>
      </c>
    </row>
    <row r="40" spans="1:11">
      <c r="A40">
        <v>71</v>
      </c>
      <c r="B40" s="2">
        <v>47391</v>
      </c>
      <c r="C40" s="1">
        <v>9390.48</v>
      </c>
      <c r="D40" s="1">
        <v>13325.88</v>
      </c>
      <c r="E40">
        <v>700.14</v>
      </c>
      <c r="F40">
        <v>196.14</v>
      </c>
      <c r="G40" s="1">
        <v>23612.639999999999</v>
      </c>
      <c r="H40" s="1">
        <v>1586990.64</v>
      </c>
      <c r="I40" s="1">
        <v>39</v>
      </c>
      <c r="J40" s="1">
        <v>12900</v>
      </c>
      <c r="K40" s="1">
        <f t="shared" ref="K40:K49" si="3">K39</f>
        <v>14302.4605875</v>
      </c>
    </row>
    <row r="41" spans="1:11">
      <c r="A41">
        <v>72</v>
      </c>
      <c r="B41" s="2">
        <v>47421</v>
      </c>
      <c r="C41" s="1">
        <v>9390.48</v>
      </c>
      <c r="D41" s="1">
        <v>13247.49</v>
      </c>
      <c r="E41">
        <v>695.99</v>
      </c>
      <c r="F41">
        <v>196.14</v>
      </c>
      <c r="G41" s="1">
        <v>23530.1</v>
      </c>
      <c r="H41" s="1">
        <v>1577600.15</v>
      </c>
      <c r="I41" s="1">
        <v>40</v>
      </c>
      <c r="J41" s="1">
        <v>12900</v>
      </c>
      <c r="K41" s="1">
        <f t="shared" si="3"/>
        <v>14302.4605875</v>
      </c>
    </row>
    <row r="42" spans="1:11">
      <c r="A42">
        <v>73</v>
      </c>
      <c r="B42" s="2">
        <v>47452</v>
      </c>
      <c r="C42" s="1">
        <v>9390.48</v>
      </c>
      <c r="D42" s="1">
        <v>13169.11</v>
      </c>
      <c r="E42">
        <v>691.86</v>
      </c>
      <c r="F42">
        <v>196.14</v>
      </c>
      <c r="G42" s="1">
        <v>23447.59</v>
      </c>
      <c r="H42" s="1">
        <v>1568209.67</v>
      </c>
      <c r="I42" s="1">
        <v>41</v>
      </c>
      <c r="J42" s="1">
        <v>12900</v>
      </c>
      <c r="K42" s="1">
        <f t="shared" si="3"/>
        <v>14302.4605875</v>
      </c>
    </row>
    <row r="43" spans="1:11">
      <c r="A43">
        <v>74</v>
      </c>
      <c r="B43" s="2">
        <v>47482</v>
      </c>
      <c r="C43" s="1">
        <v>9390.48</v>
      </c>
      <c r="D43" s="1">
        <v>13090.72</v>
      </c>
      <c r="E43">
        <v>687.72</v>
      </c>
      <c r="F43">
        <v>196.14</v>
      </c>
      <c r="G43" s="1">
        <v>23365.06</v>
      </c>
      <c r="H43" s="1">
        <v>1558819.19</v>
      </c>
      <c r="I43" s="1">
        <v>42</v>
      </c>
      <c r="J43" s="1">
        <v>12900</v>
      </c>
      <c r="K43" s="1">
        <f t="shared" si="3"/>
        <v>14302.4605875</v>
      </c>
    </row>
    <row r="44" spans="1:11">
      <c r="A44">
        <v>75</v>
      </c>
      <c r="B44" s="2">
        <v>47513</v>
      </c>
      <c r="C44" s="1">
        <v>9390.48</v>
      </c>
      <c r="D44" s="1">
        <v>13012.33</v>
      </c>
      <c r="E44">
        <v>683.57</v>
      </c>
      <c r="F44">
        <v>196.14</v>
      </c>
      <c r="G44" s="1">
        <v>23282.52</v>
      </c>
      <c r="H44" s="1">
        <v>1549428.71</v>
      </c>
      <c r="I44" s="1">
        <v>43</v>
      </c>
      <c r="J44" s="1">
        <v>12900</v>
      </c>
      <c r="K44" s="1">
        <f t="shared" si="3"/>
        <v>14302.4605875</v>
      </c>
    </row>
    <row r="45" spans="1:11">
      <c r="A45">
        <v>76</v>
      </c>
      <c r="B45" s="2">
        <v>47542</v>
      </c>
      <c r="C45" s="1">
        <v>9390.48</v>
      </c>
      <c r="D45" s="1">
        <v>12933.94</v>
      </c>
      <c r="E45">
        <v>679.43</v>
      </c>
      <c r="F45">
        <v>196.14</v>
      </c>
      <c r="G45" s="1">
        <v>23199.99</v>
      </c>
      <c r="H45" s="1">
        <v>1540038.23</v>
      </c>
      <c r="I45" s="1">
        <v>44</v>
      </c>
      <c r="J45" s="1">
        <v>12900</v>
      </c>
      <c r="K45" s="1">
        <f t="shared" si="3"/>
        <v>14302.4605875</v>
      </c>
    </row>
    <row r="46" spans="1:11">
      <c r="A46">
        <v>77</v>
      </c>
      <c r="B46" s="2">
        <v>47572</v>
      </c>
      <c r="C46" s="1">
        <v>9390.48</v>
      </c>
      <c r="D46" s="1">
        <v>12855.56</v>
      </c>
      <c r="E46">
        <v>675.28</v>
      </c>
      <c r="F46">
        <v>196.14</v>
      </c>
      <c r="G46" s="1">
        <v>23117.46</v>
      </c>
      <c r="H46" s="1">
        <v>1530647.74</v>
      </c>
      <c r="I46" s="1">
        <v>45</v>
      </c>
      <c r="J46" s="1">
        <v>12900</v>
      </c>
      <c r="K46" s="1">
        <f t="shared" si="3"/>
        <v>14302.4605875</v>
      </c>
    </row>
    <row r="47" spans="1:11">
      <c r="A47">
        <v>78</v>
      </c>
      <c r="B47" s="2">
        <v>47603</v>
      </c>
      <c r="C47" s="1">
        <v>9390.48</v>
      </c>
      <c r="D47" s="1">
        <v>12777.17</v>
      </c>
      <c r="E47">
        <v>671.14</v>
      </c>
      <c r="F47">
        <v>196.14</v>
      </c>
      <c r="G47" s="1">
        <v>23034.93</v>
      </c>
      <c r="H47" s="1">
        <v>1521257.26</v>
      </c>
      <c r="I47" s="1">
        <v>46</v>
      </c>
      <c r="J47" s="1">
        <v>12900</v>
      </c>
      <c r="K47" s="1">
        <f t="shared" si="3"/>
        <v>14302.4605875</v>
      </c>
    </row>
    <row r="48" spans="1:11">
      <c r="A48">
        <v>79</v>
      </c>
      <c r="B48" s="2">
        <v>47633</v>
      </c>
      <c r="C48" s="1">
        <v>9390.48</v>
      </c>
      <c r="D48" s="1">
        <v>12698.78</v>
      </c>
      <c r="E48">
        <v>667</v>
      </c>
      <c r="F48">
        <v>196.14</v>
      </c>
      <c r="G48" s="1">
        <v>22952.400000000001</v>
      </c>
      <c r="H48" s="1">
        <v>1511866.78</v>
      </c>
      <c r="I48" s="1">
        <v>47</v>
      </c>
      <c r="J48" s="1">
        <v>12900</v>
      </c>
      <c r="K48" s="1">
        <f t="shared" si="3"/>
        <v>14302.4605875</v>
      </c>
    </row>
    <row r="49" spans="1:11">
      <c r="A49">
        <v>80</v>
      </c>
      <c r="B49" s="2">
        <v>47664</v>
      </c>
      <c r="C49" s="1">
        <v>9390.48</v>
      </c>
      <c r="D49" s="1">
        <v>12620.39</v>
      </c>
      <c r="E49">
        <v>662.85</v>
      </c>
      <c r="F49">
        <v>196.14</v>
      </c>
      <c r="G49" s="1">
        <v>22869.86</v>
      </c>
      <c r="H49" s="1">
        <v>1502476.3</v>
      </c>
      <c r="I49" s="1">
        <v>48</v>
      </c>
      <c r="J49" s="1">
        <v>12900</v>
      </c>
      <c r="K49" s="1">
        <f t="shared" si="3"/>
        <v>14302.4605875</v>
      </c>
    </row>
    <row r="50" spans="1:11">
      <c r="A50">
        <v>81</v>
      </c>
      <c r="B50" s="2">
        <v>47694</v>
      </c>
      <c r="C50" s="1">
        <v>9390.48</v>
      </c>
      <c r="D50" s="1">
        <v>12542.01</v>
      </c>
      <c r="E50">
        <v>658.71</v>
      </c>
      <c r="F50">
        <v>196.14</v>
      </c>
      <c r="G50" s="1">
        <v>22787.34</v>
      </c>
      <c r="H50" s="1">
        <v>1493085.82</v>
      </c>
      <c r="I50" s="1">
        <v>49</v>
      </c>
      <c r="J50" s="1">
        <v>12900</v>
      </c>
      <c r="K50" s="1">
        <f>K49*(180-I49)*(1+$O$1)/(180-I49)</f>
        <v>14803.046708062499</v>
      </c>
    </row>
    <row r="51" spans="1:11">
      <c r="A51">
        <v>82</v>
      </c>
      <c r="B51" s="2">
        <v>47725</v>
      </c>
      <c r="C51" s="1">
        <v>9390.48</v>
      </c>
      <c r="D51" s="1">
        <v>12463.62</v>
      </c>
      <c r="E51">
        <v>654.57000000000005</v>
      </c>
      <c r="F51">
        <v>196.14</v>
      </c>
      <c r="G51" s="1">
        <v>22704.81</v>
      </c>
      <c r="H51" s="1">
        <v>1483695.33</v>
      </c>
      <c r="I51" s="1">
        <v>50</v>
      </c>
      <c r="J51" s="1">
        <v>12900</v>
      </c>
      <c r="K51" s="1">
        <f>K50</f>
        <v>14803.046708062499</v>
      </c>
    </row>
    <row r="52" spans="1:11">
      <c r="A52">
        <v>83</v>
      </c>
      <c r="B52" s="2">
        <v>47756</v>
      </c>
      <c r="C52" s="1">
        <v>9390.48</v>
      </c>
      <c r="D52" s="1">
        <v>12385.23</v>
      </c>
      <c r="E52">
        <v>650.42999999999995</v>
      </c>
      <c r="F52">
        <v>196.14</v>
      </c>
      <c r="G52" s="1">
        <v>22622.28</v>
      </c>
      <c r="H52" s="1">
        <v>1474304.85</v>
      </c>
      <c r="I52" s="1">
        <v>51</v>
      </c>
      <c r="J52" s="1">
        <v>12900</v>
      </c>
      <c r="K52" s="1">
        <f t="shared" ref="K52:K61" si="4">K51</f>
        <v>14803.046708062499</v>
      </c>
    </row>
    <row r="53" spans="1:11">
      <c r="A53">
        <v>84</v>
      </c>
      <c r="B53" s="2">
        <v>47786</v>
      </c>
      <c r="C53" s="1">
        <v>9390.48</v>
      </c>
      <c r="D53" s="1">
        <v>12306.84</v>
      </c>
      <c r="E53">
        <v>646.29</v>
      </c>
      <c r="F53">
        <v>196.14</v>
      </c>
      <c r="G53" s="1">
        <v>22539.75</v>
      </c>
      <c r="H53" s="1">
        <v>1464914.37</v>
      </c>
      <c r="I53" s="1">
        <v>52</v>
      </c>
      <c r="J53" s="1">
        <v>12900</v>
      </c>
      <c r="K53" s="1">
        <f t="shared" si="4"/>
        <v>14803.046708062499</v>
      </c>
    </row>
    <row r="54" spans="1:11">
      <c r="A54">
        <v>85</v>
      </c>
      <c r="B54" s="2">
        <v>47817</v>
      </c>
      <c r="C54" s="1">
        <v>9390.48</v>
      </c>
      <c r="D54" s="1">
        <v>12228.46</v>
      </c>
      <c r="E54">
        <v>642.14</v>
      </c>
      <c r="F54">
        <v>196.14</v>
      </c>
      <c r="G54" s="1">
        <v>22457.22</v>
      </c>
      <c r="H54" s="1">
        <v>1455523.89</v>
      </c>
      <c r="I54" s="1">
        <v>53</v>
      </c>
      <c r="J54" s="1">
        <v>12900</v>
      </c>
      <c r="K54" s="1">
        <f t="shared" si="4"/>
        <v>14803.046708062499</v>
      </c>
    </row>
    <row r="55" spans="1:11">
      <c r="A55">
        <v>86</v>
      </c>
      <c r="B55" s="2">
        <v>47847</v>
      </c>
      <c r="C55" s="1">
        <v>9390.48</v>
      </c>
      <c r="D55" s="1">
        <v>12150.07</v>
      </c>
      <c r="E55">
        <v>638</v>
      </c>
      <c r="F55">
        <v>196.14</v>
      </c>
      <c r="G55" s="1">
        <v>22374.69</v>
      </c>
      <c r="H55" s="1">
        <v>1446133.41</v>
      </c>
      <c r="I55" s="1">
        <v>54</v>
      </c>
      <c r="J55" s="1">
        <v>12900</v>
      </c>
      <c r="K55" s="1">
        <f t="shared" si="4"/>
        <v>14803.046708062499</v>
      </c>
    </row>
    <row r="56" spans="1:11">
      <c r="A56">
        <v>87</v>
      </c>
      <c r="B56" s="2">
        <v>47878</v>
      </c>
      <c r="C56" s="1">
        <v>9390.48</v>
      </c>
      <c r="D56" s="1">
        <v>12071.68</v>
      </c>
      <c r="E56">
        <v>633.85</v>
      </c>
      <c r="F56">
        <v>196.14</v>
      </c>
      <c r="G56" s="1">
        <v>22292.15</v>
      </c>
      <c r="H56" s="1">
        <v>1436742.92</v>
      </c>
      <c r="I56" s="1">
        <v>55</v>
      </c>
      <c r="J56" s="1">
        <v>12900</v>
      </c>
      <c r="K56" s="1">
        <f t="shared" si="4"/>
        <v>14803.046708062499</v>
      </c>
    </row>
    <row r="57" spans="1:11">
      <c r="A57">
        <v>88</v>
      </c>
      <c r="B57" s="2">
        <v>47907</v>
      </c>
      <c r="C57" s="1">
        <v>9390.48</v>
      </c>
      <c r="D57" s="1">
        <v>11993.29</v>
      </c>
      <c r="E57">
        <v>629.71</v>
      </c>
      <c r="F57">
        <v>196.14</v>
      </c>
      <c r="G57" s="1">
        <v>22209.62</v>
      </c>
      <c r="H57" s="1">
        <v>1427352.44</v>
      </c>
      <c r="I57" s="1">
        <v>56</v>
      </c>
      <c r="J57" s="1">
        <v>12900</v>
      </c>
      <c r="K57" s="1">
        <f t="shared" si="4"/>
        <v>14803.046708062499</v>
      </c>
    </row>
    <row r="58" spans="1:11">
      <c r="A58">
        <v>89</v>
      </c>
      <c r="B58" s="2">
        <v>47937</v>
      </c>
      <c r="C58" s="1">
        <v>9390.48</v>
      </c>
      <c r="D58" s="1">
        <v>11914.9</v>
      </c>
      <c r="E58">
        <v>625.57000000000005</v>
      </c>
      <c r="F58">
        <v>196.14</v>
      </c>
      <c r="G58" s="1">
        <v>22127.09</v>
      </c>
      <c r="H58" s="1">
        <v>1417961.96</v>
      </c>
      <c r="I58" s="1">
        <v>57</v>
      </c>
      <c r="J58" s="1">
        <v>12900</v>
      </c>
      <c r="K58" s="1">
        <f t="shared" si="4"/>
        <v>14803.046708062499</v>
      </c>
    </row>
    <row r="59" spans="1:11">
      <c r="A59">
        <v>90</v>
      </c>
      <c r="B59" s="2">
        <v>47968</v>
      </c>
      <c r="C59" s="1">
        <v>9390.48</v>
      </c>
      <c r="D59" s="1">
        <v>11836.52</v>
      </c>
      <c r="E59">
        <v>621.41999999999996</v>
      </c>
      <c r="F59">
        <v>196.14</v>
      </c>
      <c r="G59" s="1">
        <v>22044.560000000001</v>
      </c>
      <c r="H59" s="1">
        <v>1408571.48</v>
      </c>
      <c r="I59" s="1">
        <v>58</v>
      </c>
      <c r="J59" s="1">
        <v>12900</v>
      </c>
      <c r="K59" s="1">
        <f t="shared" si="4"/>
        <v>14803.046708062499</v>
      </c>
    </row>
    <row r="60" spans="1:11">
      <c r="A60">
        <v>91</v>
      </c>
      <c r="B60" s="2">
        <v>47998</v>
      </c>
      <c r="C60" s="1">
        <v>9390.48</v>
      </c>
      <c r="D60" s="1">
        <v>11758.13</v>
      </c>
      <c r="E60">
        <v>617.28</v>
      </c>
      <c r="F60">
        <v>196.14</v>
      </c>
      <c r="G60" s="1">
        <v>21962.03</v>
      </c>
      <c r="H60" s="1">
        <v>1399181</v>
      </c>
      <c r="I60" s="1">
        <v>59</v>
      </c>
      <c r="J60" s="1">
        <v>12900</v>
      </c>
      <c r="K60" s="1">
        <f t="shared" si="4"/>
        <v>14803.046708062499</v>
      </c>
    </row>
    <row r="61" spans="1:11">
      <c r="A61">
        <v>92</v>
      </c>
      <c r="B61" s="2">
        <v>48029</v>
      </c>
      <c r="C61" s="1">
        <v>9390.48</v>
      </c>
      <c r="D61" s="1">
        <v>11679.74</v>
      </c>
      <c r="E61">
        <v>613.15</v>
      </c>
      <c r="F61">
        <v>196.14</v>
      </c>
      <c r="G61" s="1">
        <v>21879.51</v>
      </c>
      <c r="H61" s="1">
        <v>1389790.51</v>
      </c>
      <c r="I61" s="1">
        <v>60</v>
      </c>
      <c r="J61" s="1">
        <v>12900</v>
      </c>
      <c r="K61" s="1">
        <f t="shared" si="4"/>
        <v>14803.046708062499</v>
      </c>
    </row>
    <row r="62" spans="1:11">
      <c r="A62">
        <v>93</v>
      </c>
      <c r="B62" s="2">
        <v>48059</v>
      </c>
      <c r="C62" s="1">
        <v>9390.48</v>
      </c>
      <c r="D62" s="1">
        <v>11601.35</v>
      </c>
      <c r="E62">
        <v>609</v>
      </c>
      <c r="F62">
        <v>196.14</v>
      </c>
      <c r="G62" s="1">
        <v>21796.97</v>
      </c>
      <c r="H62" s="1">
        <v>1380400.03</v>
      </c>
      <c r="I62" s="1">
        <v>61</v>
      </c>
      <c r="J62" s="1">
        <v>12900</v>
      </c>
      <c r="K62" s="1">
        <f>K61*(180-I61)*(1+$O$1)/(180-I61)</f>
        <v>15321.153342844686</v>
      </c>
    </row>
    <row r="63" spans="1:11">
      <c r="A63">
        <v>94</v>
      </c>
      <c r="B63" s="2">
        <v>48090</v>
      </c>
      <c r="C63" s="1">
        <v>9390.48</v>
      </c>
      <c r="D63" s="1">
        <v>11522.97</v>
      </c>
      <c r="E63">
        <v>604.86</v>
      </c>
      <c r="F63">
        <v>196.14</v>
      </c>
      <c r="G63" s="1">
        <v>21714.45</v>
      </c>
      <c r="H63" s="1">
        <v>1371009.55</v>
      </c>
      <c r="I63" s="1">
        <v>62</v>
      </c>
      <c r="J63" s="1">
        <v>12900</v>
      </c>
      <c r="K63" s="1">
        <f>K62</f>
        <v>15321.153342844686</v>
      </c>
    </row>
    <row r="64" spans="1:11">
      <c r="A64">
        <v>95</v>
      </c>
      <c r="B64" s="2">
        <v>48121</v>
      </c>
      <c r="C64" s="1">
        <v>9390.48</v>
      </c>
      <c r="D64" s="1">
        <v>11444.58</v>
      </c>
      <c r="E64">
        <v>600.71</v>
      </c>
      <c r="F64">
        <v>196.14</v>
      </c>
      <c r="G64" s="1">
        <v>21631.91</v>
      </c>
      <c r="H64" s="1">
        <v>1361619.07</v>
      </c>
      <c r="I64" s="1">
        <v>63</v>
      </c>
      <c r="J64" s="1">
        <v>12900</v>
      </c>
      <c r="K64" s="1">
        <f t="shared" ref="K64:K73" si="5">K63</f>
        <v>15321.153342844686</v>
      </c>
    </row>
    <row r="65" spans="1:11">
      <c r="A65">
        <v>96</v>
      </c>
      <c r="B65" s="2">
        <v>48151</v>
      </c>
      <c r="C65" s="1">
        <v>9390.48</v>
      </c>
      <c r="D65" s="1">
        <v>11366.19</v>
      </c>
      <c r="E65">
        <v>596.57000000000005</v>
      </c>
      <c r="F65">
        <v>196.14</v>
      </c>
      <c r="G65" s="1">
        <v>21549.38</v>
      </c>
      <c r="H65" s="1">
        <v>1352228.58</v>
      </c>
      <c r="I65" s="1">
        <v>64</v>
      </c>
      <c r="J65" s="1">
        <v>12900</v>
      </c>
      <c r="K65" s="1">
        <f t="shared" si="5"/>
        <v>15321.153342844686</v>
      </c>
    </row>
    <row r="66" spans="1:11">
      <c r="A66">
        <v>97</v>
      </c>
      <c r="B66" s="2">
        <v>48182</v>
      </c>
      <c r="C66" s="1">
        <v>9390.48</v>
      </c>
      <c r="D66" s="1">
        <v>11287.8</v>
      </c>
      <c r="E66">
        <v>592.42999999999995</v>
      </c>
      <c r="F66">
        <v>196.14</v>
      </c>
      <c r="G66" s="1">
        <v>21466.85</v>
      </c>
      <c r="H66" s="1">
        <v>1342838.1</v>
      </c>
      <c r="I66" s="1">
        <v>65</v>
      </c>
      <c r="J66" s="1">
        <v>12900</v>
      </c>
      <c r="K66" s="1">
        <f t="shared" si="5"/>
        <v>15321.153342844686</v>
      </c>
    </row>
    <row r="67" spans="1:11">
      <c r="A67">
        <v>98</v>
      </c>
      <c r="B67" s="2">
        <v>48212</v>
      </c>
      <c r="C67" s="1">
        <v>9390.48</v>
      </c>
      <c r="D67" s="1">
        <v>11209.42</v>
      </c>
      <c r="E67">
        <v>588.28</v>
      </c>
      <c r="F67">
        <v>196.14</v>
      </c>
      <c r="G67" s="1">
        <v>21384.32</v>
      </c>
      <c r="H67" s="1">
        <v>1333447.6200000001</v>
      </c>
      <c r="I67" s="1">
        <v>66</v>
      </c>
      <c r="J67" s="1">
        <v>12900</v>
      </c>
      <c r="K67" s="1">
        <f t="shared" si="5"/>
        <v>15321.153342844686</v>
      </c>
    </row>
    <row r="68" spans="1:11">
      <c r="A68">
        <v>99</v>
      </c>
      <c r="B68" s="2">
        <v>48243</v>
      </c>
      <c r="C68" s="1">
        <v>9390.48</v>
      </c>
      <c r="D68" s="1">
        <v>11131.03</v>
      </c>
      <c r="E68">
        <v>584.14</v>
      </c>
      <c r="F68">
        <v>196.14</v>
      </c>
      <c r="G68" s="1">
        <v>21301.79</v>
      </c>
      <c r="H68" s="1">
        <v>1324057.1399999999</v>
      </c>
      <c r="I68" s="1">
        <v>67</v>
      </c>
      <c r="J68" s="1">
        <v>12900</v>
      </c>
      <c r="K68" s="1">
        <f t="shared" si="5"/>
        <v>15321.153342844686</v>
      </c>
    </row>
    <row r="69" spans="1:11">
      <c r="A69">
        <v>100</v>
      </c>
      <c r="B69" s="2">
        <v>48273</v>
      </c>
      <c r="C69" s="1">
        <v>9390.48</v>
      </c>
      <c r="D69" s="1">
        <v>11052.64</v>
      </c>
      <c r="E69">
        <v>579.99</v>
      </c>
      <c r="F69">
        <v>196.14</v>
      </c>
      <c r="G69" s="1">
        <v>21219.25</v>
      </c>
      <c r="H69" s="1">
        <v>1314666.6599999999</v>
      </c>
      <c r="I69" s="1">
        <v>68</v>
      </c>
      <c r="J69" s="1">
        <v>12900</v>
      </c>
      <c r="K69" s="1">
        <f t="shared" si="5"/>
        <v>15321.153342844686</v>
      </c>
    </row>
    <row r="70" spans="1:11">
      <c r="A70">
        <v>101</v>
      </c>
      <c r="B70" s="2">
        <v>48303</v>
      </c>
      <c r="C70" s="1">
        <v>9390.48</v>
      </c>
      <c r="D70" s="1">
        <v>10974.25</v>
      </c>
      <c r="E70">
        <v>575.85</v>
      </c>
      <c r="F70">
        <v>196.14</v>
      </c>
      <c r="G70" s="1">
        <v>21136.720000000001</v>
      </c>
      <c r="H70" s="1">
        <v>1305276.17</v>
      </c>
      <c r="I70" s="1">
        <v>69</v>
      </c>
      <c r="J70" s="1">
        <v>12900</v>
      </c>
      <c r="K70" s="1">
        <f t="shared" si="5"/>
        <v>15321.153342844686</v>
      </c>
    </row>
    <row r="71" spans="1:11">
      <c r="A71">
        <v>102</v>
      </c>
      <c r="B71" s="2">
        <v>48334</v>
      </c>
      <c r="C71" s="1">
        <v>9390.48</v>
      </c>
      <c r="D71" s="1">
        <v>10895.87</v>
      </c>
      <c r="E71">
        <v>571.72</v>
      </c>
      <c r="F71">
        <v>196.14</v>
      </c>
      <c r="G71" s="1">
        <v>21054.21</v>
      </c>
      <c r="H71" s="1">
        <v>1295885.69</v>
      </c>
      <c r="I71" s="1">
        <v>70</v>
      </c>
      <c r="J71" s="1">
        <v>12900</v>
      </c>
      <c r="K71" s="1">
        <f t="shared" si="5"/>
        <v>15321.153342844686</v>
      </c>
    </row>
    <row r="72" spans="1:11">
      <c r="A72">
        <v>103</v>
      </c>
      <c r="B72" s="2">
        <v>48364</v>
      </c>
      <c r="C72" s="1">
        <v>9390.48</v>
      </c>
      <c r="D72" s="1">
        <v>10817.48</v>
      </c>
      <c r="E72">
        <v>567.57000000000005</v>
      </c>
      <c r="F72">
        <v>196.14</v>
      </c>
      <c r="G72" s="1">
        <v>20971.67</v>
      </c>
      <c r="H72" s="1">
        <v>1286495.21</v>
      </c>
      <c r="I72" s="1">
        <v>71</v>
      </c>
      <c r="J72" s="1">
        <v>12900</v>
      </c>
      <c r="K72" s="1">
        <f t="shared" si="5"/>
        <v>15321.153342844686</v>
      </c>
    </row>
    <row r="73" spans="1:11">
      <c r="A73">
        <v>104</v>
      </c>
      <c r="B73" s="2">
        <v>48395</v>
      </c>
      <c r="C73" s="1">
        <v>9390.48</v>
      </c>
      <c r="D73" s="1">
        <v>10739.09</v>
      </c>
      <c r="E73">
        <v>563.42999999999995</v>
      </c>
      <c r="F73">
        <v>196.14</v>
      </c>
      <c r="G73" s="1">
        <v>20889.14</v>
      </c>
      <c r="H73" s="1">
        <v>1277104.73</v>
      </c>
      <c r="I73" s="1">
        <v>72</v>
      </c>
      <c r="J73" s="1">
        <v>12900</v>
      </c>
      <c r="K73" s="1">
        <f t="shared" si="5"/>
        <v>15321.153342844686</v>
      </c>
    </row>
    <row r="74" spans="1:11">
      <c r="A74">
        <v>105</v>
      </c>
      <c r="B74" s="2">
        <v>48425</v>
      </c>
      <c r="C74" s="1">
        <v>9390.48</v>
      </c>
      <c r="D74" s="1">
        <v>10660.7</v>
      </c>
      <c r="E74">
        <v>559.28</v>
      </c>
      <c r="F74">
        <v>196.14</v>
      </c>
      <c r="G74" s="1">
        <v>20806.599999999999</v>
      </c>
      <c r="H74" s="1">
        <v>1267714.25</v>
      </c>
      <c r="I74" s="1">
        <v>73</v>
      </c>
      <c r="J74" s="1">
        <v>12900</v>
      </c>
      <c r="K74" s="1">
        <f>K73*(180-I73)*(1+$O$1)/(180-I73)</f>
        <v>15857.393709844247</v>
      </c>
    </row>
    <row r="75" spans="1:11">
      <c r="A75">
        <v>106</v>
      </c>
      <c r="B75" s="2">
        <v>48456</v>
      </c>
      <c r="C75" s="1">
        <v>9390.48</v>
      </c>
      <c r="D75" s="1">
        <v>10582.32</v>
      </c>
      <c r="E75">
        <v>555.14</v>
      </c>
      <c r="F75">
        <v>196.14</v>
      </c>
      <c r="G75" s="1">
        <v>20724.080000000002</v>
      </c>
      <c r="H75" s="1">
        <v>1258323.76</v>
      </c>
      <c r="I75" s="1">
        <v>74</v>
      </c>
      <c r="J75" s="1">
        <v>12900</v>
      </c>
      <c r="K75" s="1">
        <f>K74</f>
        <v>15857.393709844247</v>
      </c>
    </row>
    <row r="76" spans="1:11">
      <c r="A76">
        <v>107</v>
      </c>
      <c r="B76" s="2">
        <v>48487</v>
      </c>
      <c r="C76" s="1">
        <v>9390.48</v>
      </c>
      <c r="D76" s="1">
        <v>10503.93</v>
      </c>
      <c r="E76">
        <v>551</v>
      </c>
      <c r="F76">
        <v>196.14</v>
      </c>
      <c r="G76" s="1">
        <v>20641.55</v>
      </c>
      <c r="H76" s="1">
        <v>1248933.28</v>
      </c>
      <c r="I76" s="1">
        <v>75</v>
      </c>
      <c r="J76" s="1">
        <v>12900</v>
      </c>
      <c r="K76" s="1">
        <f t="shared" ref="K76:K85" si="6">K75</f>
        <v>15857.393709844247</v>
      </c>
    </row>
    <row r="77" spans="1:11">
      <c r="A77">
        <v>108</v>
      </c>
      <c r="B77" s="2">
        <v>48517</v>
      </c>
      <c r="C77" s="1">
        <v>9390.48</v>
      </c>
      <c r="D77" s="1">
        <v>10425.540000000001</v>
      </c>
      <c r="E77">
        <v>546.85</v>
      </c>
      <c r="F77">
        <v>196.14</v>
      </c>
      <c r="G77" s="1">
        <v>20559.009999999998</v>
      </c>
      <c r="H77" s="1">
        <v>1239542.8</v>
      </c>
      <c r="I77" s="1">
        <v>76</v>
      </c>
      <c r="J77" s="1">
        <v>12900</v>
      </c>
      <c r="K77" s="1">
        <f t="shared" si="6"/>
        <v>15857.393709844247</v>
      </c>
    </row>
    <row r="78" spans="1:11">
      <c r="A78">
        <v>109</v>
      </c>
      <c r="B78" s="2">
        <v>48548</v>
      </c>
      <c r="C78" s="1">
        <v>9390.48</v>
      </c>
      <c r="D78" s="1">
        <v>10347.15</v>
      </c>
      <c r="E78">
        <v>542.71</v>
      </c>
      <c r="F78">
        <v>196.14</v>
      </c>
      <c r="G78" s="1">
        <v>20476.48</v>
      </c>
      <c r="H78" s="1">
        <v>1230152.32</v>
      </c>
      <c r="I78" s="1">
        <v>77</v>
      </c>
      <c r="J78" s="1">
        <v>12900</v>
      </c>
      <c r="K78" s="1">
        <f t="shared" si="6"/>
        <v>15857.393709844247</v>
      </c>
    </row>
    <row r="79" spans="1:11">
      <c r="A79">
        <v>110</v>
      </c>
      <c r="B79" s="2">
        <v>48578</v>
      </c>
      <c r="C79" s="1">
        <v>9390.48</v>
      </c>
      <c r="D79" s="1">
        <v>10268.77</v>
      </c>
      <c r="E79">
        <v>538.57000000000005</v>
      </c>
      <c r="F79">
        <v>196.14</v>
      </c>
      <c r="G79" s="1">
        <v>20393.96</v>
      </c>
      <c r="H79" s="1">
        <v>1220761.8400000001</v>
      </c>
      <c r="I79" s="1">
        <v>78</v>
      </c>
      <c r="J79" s="1">
        <v>12900</v>
      </c>
      <c r="K79" s="1">
        <f t="shared" si="6"/>
        <v>15857.393709844247</v>
      </c>
    </row>
    <row r="80" spans="1:11">
      <c r="A80">
        <v>111</v>
      </c>
      <c r="B80" s="2">
        <v>48609</v>
      </c>
      <c r="C80" s="1">
        <v>9390.48</v>
      </c>
      <c r="D80" s="1">
        <v>10190.379999999999</v>
      </c>
      <c r="E80">
        <v>534.42999999999995</v>
      </c>
      <c r="F80">
        <v>196.14</v>
      </c>
      <c r="G80" s="1">
        <v>20311.43</v>
      </c>
      <c r="H80" s="1">
        <v>1211371.3500000001</v>
      </c>
      <c r="I80" s="1">
        <v>79</v>
      </c>
      <c r="J80" s="1">
        <v>12900</v>
      </c>
      <c r="K80" s="1">
        <f t="shared" si="6"/>
        <v>15857.393709844247</v>
      </c>
    </row>
    <row r="81" spans="1:11">
      <c r="A81">
        <v>112</v>
      </c>
      <c r="B81" s="2">
        <v>48638</v>
      </c>
      <c r="C81" s="1">
        <v>9390.48</v>
      </c>
      <c r="D81" s="1">
        <v>10111.99</v>
      </c>
      <c r="E81">
        <v>530.29</v>
      </c>
      <c r="F81">
        <v>196.14</v>
      </c>
      <c r="G81" s="1">
        <v>20228.900000000001</v>
      </c>
      <c r="H81" s="1">
        <v>1201980.8700000001</v>
      </c>
      <c r="I81" s="1">
        <v>80</v>
      </c>
      <c r="J81" s="1">
        <v>12900</v>
      </c>
      <c r="K81" s="1">
        <f t="shared" si="6"/>
        <v>15857.393709844247</v>
      </c>
    </row>
    <row r="82" spans="1:11">
      <c r="A82">
        <v>113</v>
      </c>
      <c r="B82" s="2">
        <v>48668</v>
      </c>
      <c r="C82" s="1">
        <v>9390.48</v>
      </c>
      <c r="D82" s="1">
        <v>10033.6</v>
      </c>
      <c r="E82">
        <v>526.14</v>
      </c>
      <c r="F82">
        <v>196.14</v>
      </c>
      <c r="G82" s="1">
        <v>20146.36</v>
      </c>
      <c r="H82" s="1">
        <v>1192590.3899999999</v>
      </c>
      <c r="I82" s="1">
        <v>81</v>
      </c>
      <c r="J82" s="1">
        <v>12900</v>
      </c>
      <c r="K82" s="1">
        <f t="shared" si="6"/>
        <v>15857.393709844247</v>
      </c>
    </row>
    <row r="83" spans="1:11">
      <c r="A83">
        <v>114</v>
      </c>
      <c r="B83" s="2">
        <v>48699</v>
      </c>
      <c r="C83" s="1">
        <v>9390.48</v>
      </c>
      <c r="D83" s="1">
        <v>9955.2199999999993</v>
      </c>
      <c r="E83">
        <v>522</v>
      </c>
      <c r="F83">
        <v>196.14</v>
      </c>
      <c r="G83" s="1">
        <v>20063.84</v>
      </c>
      <c r="H83" s="1">
        <v>1183199.9099999999</v>
      </c>
      <c r="I83" s="1">
        <v>82</v>
      </c>
      <c r="J83" s="1">
        <v>12900</v>
      </c>
      <c r="K83" s="1">
        <f t="shared" si="6"/>
        <v>15857.393709844247</v>
      </c>
    </row>
    <row r="84" spans="1:11">
      <c r="A84">
        <v>115</v>
      </c>
      <c r="B84" s="2">
        <v>48729</v>
      </c>
      <c r="C84" s="1">
        <v>9390.48</v>
      </c>
      <c r="D84" s="1">
        <v>9876.83</v>
      </c>
      <c r="E84">
        <v>517.86</v>
      </c>
      <c r="F84">
        <v>196.14</v>
      </c>
      <c r="G84" s="1">
        <v>19981.310000000001</v>
      </c>
      <c r="H84" s="1">
        <v>1173809.43</v>
      </c>
      <c r="I84" s="1">
        <v>83</v>
      </c>
      <c r="J84" s="1">
        <v>12900</v>
      </c>
      <c r="K84" s="1">
        <f t="shared" si="6"/>
        <v>15857.393709844247</v>
      </c>
    </row>
    <row r="85" spans="1:11">
      <c r="A85">
        <v>116</v>
      </c>
      <c r="B85" s="2">
        <v>48760</v>
      </c>
      <c r="C85" s="1">
        <v>9390.48</v>
      </c>
      <c r="D85" s="1">
        <v>9798.44</v>
      </c>
      <c r="E85">
        <v>513.71</v>
      </c>
      <c r="F85">
        <v>196.14</v>
      </c>
      <c r="G85" s="1">
        <v>19898.77</v>
      </c>
      <c r="H85" s="1">
        <v>1164418.94</v>
      </c>
      <c r="I85" s="1">
        <v>84</v>
      </c>
      <c r="J85" s="1">
        <v>12900</v>
      </c>
      <c r="K85" s="1">
        <f t="shared" si="6"/>
        <v>15857.393709844247</v>
      </c>
    </row>
    <row r="86" spans="1:11">
      <c r="A86">
        <v>117</v>
      </c>
      <c r="B86" s="2">
        <v>48790</v>
      </c>
      <c r="C86" s="1">
        <v>9390.48</v>
      </c>
      <c r="D86" s="1">
        <v>9720.0499999999993</v>
      </c>
      <c r="E86">
        <v>509.57</v>
      </c>
      <c r="F86">
        <v>196.14</v>
      </c>
      <c r="G86" s="1">
        <v>19816.240000000002</v>
      </c>
      <c r="H86" s="1">
        <v>1155028.46</v>
      </c>
      <c r="I86" s="1">
        <v>85</v>
      </c>
      <c r="J86" s="1">
        <v>12900</v>
      </c>
      <c r="K86" s="1">
        <f>K85*(180-I85)*(1+$O$1)/(180-I85)</f>
        <v>16412.402489688797</v>
      </c>
    </row>
    <row r="87" spans="1:11">
      <c r="A87">
        <v>118</v>
      </c>
      <c r="B87" s="2">
        <v>48821</v>
      </c>
      <c r="C87" s="1">
        <v>9390.48</v>
      </c>
      <c r="D87" s="1">
        <v>9641.67</v>
      </c>
      <c r="E87">
        <v>505.42</v>
      </c>
      <c r="F87">
        <v>196.14</v>
      </c>
      <c r="G87" s="1">
        <v>19733.71</v>
      </c>
      <c r="H87" s="1">
        <v>1145637.98</v>
      </c>
      <c r="I87" s="1">
        <v>86</v>
      </c>
      <c r="J87" s="1">
        <v>12900</v>
      </c>
      <c r="K87" s="1">
        <f>K86</f>
        <v>16412.402489688797</v>
      </c>
    </row>
    <row r="88" spans="1:11">
      <c r="A88">
        <v>119</v>
      </c>
      <c r="B88" s="2">
        <v>48852</v>
      </c>
      <c r="C88" s="1">
        <v>9390.48</v>
      </c>
      <c r="D88" s="1">
        <v>9563.2800000000007</v>
      </c>
      <c r="E88">
        <v>501.28</v>
      </c>
      <c r="F88">
        <v>196.14</v>
      </c>
      <c r="G88" s="1">
        <v>19651.18</v>
      </c>
      <c r="H88" s="1">
        <v>1136247.5</v>
      </c>
      <c r="I88" s="1">
        <v>87</v>
      </c>
      <c r="J88" s="1">
        <v>12900</v>
      </c>
      <c r="K88" s="1">
        <f t="shared" ref="K88:K97" si="7">K87</f>
        <v>16412.402489688797</v>
      </c>
    </row>
    <row r="89" spans="1:11">
      <c r="A89">
        <v>120</v>
      </c>
      <c r="B89" s="2">
        <v>48882</v>
      </c>
      <c r="C89" s="1">
        <v>9390.48</v>
      </c>
      <c r="D89" s="1">
        <v>9484.89</v>
      </c>
      <c r="E89">
        <v>497.14</v>
      </c>
      <c r="F89">
        <v>196.14</v>
      </c>
      <c r="G89" s="1">
        <v>19568.650000000001</v>
      </c>
      <c r="H89" s="1">
        <v>1126857.02</v>
      </c>
      <c r="I89" s="1">
        <v>88</v>
      </c>
      <c r="J89" s="1">
        <v>12900</v>
      </c>
      <c r="K89" s="1">
        <f t="shared" si="7"/>
        <v>16412.402489688797</v>
      </c>
    </row>
    <row r="90" spans="1:11">
      <c r="A90">
        <v>121</v>
      </c>
      <c r="B90" s="2">
        <v>48913</v>
      </c>
      <c r="C90" s="1">
        <v>9390.48</v>
      </c>
      <c r="D90" s="1">
        <v>9406.5</v>
      </c>
      <c r="E90">
        <v>493</v>
      </c>
      <c r="F90">
        <v>196.14</v>
      </c>
      <c r="G90" s="1">
        <v>19486.12</v>
      </c>
      <c r="H90" s="1">
        <v>1117466.53</v>
      </c>
      <c r="I90" s="1">
        <v>89</v>
      </c>
      <c r="J90" s="1">
        <v>12900</v>
      </c>
      <c r="K90" s="1">
        <f t="shared" si="7"/>
        <v>16412.402489688797</v>
      </c>
    </row>
    <row r="91" spans="1:11">
      <c r="A91">
        <v>122</v>
      </c>
      <c r="B91" s="2">
        <v>48943</v>
      </c>
      <c r="C91" s="1">
        <v>9390.48</v>
      </c>
      <c r="D91" s="1">
        <v>9328.11</v>
      </c>
      <c r="E91">
        <v>488.86</v>
      </c>
      <c r="F91">
        <v>196.14</v>
      </c>
      <c r="G91" s="1">
        <v>19403.59</v>
      </c>
      <c r="H91" s="1">
        <v>1108076.05</v>
      </c>
      <c r="I91" s="1">
        <v>90</v>
      </c>
      <c r="J91" s="1">
        <v>12900</v>
      </c>
      <c r="K91" s="1">
        <f t="shared" si="7"/>
        <v>16412.402489688797</v>
      </c>
    </row>
    <row r="92" spans="1:11">
      <c r="A92">
        <v>123</v>
      </c>
      <c r="B92" s="2">
        <v>48974</v>
      </c>
      <c r="C92" s="1">
        <v>9390.48</v>
      </c>
      <c r="D92" s="1">
        <v>9249.73</v>
      </c>
      <c r="E92">
        <v>484.71</v>
      </c>
      <c r="F92">
        <v>196.14</v>
      </c>
      <c r="G92" s="1">
        <v>19321.060000000001</v>
      </c>
      <c r="H92" s="1">
        <v>1098685.57</v>
      </c>
      <c r="I92" s="1">
        <v>91</v>
      </c>
      <c r="J92" s="1">
        <v>12900</v>
      </c>
      <c r="K92" s="1">
        <f t="shared" si="7"/>
        <v>16412.402489688797</v>
      </c>
    </row>
    <row r="93" spans="1:11">
      <c r="A93">
        <v>124</v>
      </c>
      <c r="B93" s="2">
        <v>49003</v>
      </c>
      <c r="C93" s="1">
        <v>9390.48</v>
      </c>
      <c r="D93" s="1">
        <v>9171.34</v>
      </c>
      <c r="E93">
        <v>480.57</v>
      </c>
      <c r="F93">
        <v>196.14</v>
      </c>
      <c r="G93" s="1">
        <v>19238.53</v>
      </c>
      <c r="H93" s="1">
        <v>1089295.0900000001</v>
      </c>
      <c r="I93" s="1">
        <v>92</v>
      </c>
      <c r="J93" s="1">
        <v>12900</v>
      </c>
      <c r="K93" s="1">
        <f t="shared" si="7"/>
        <v>16412.402489688797</v>
      </c>
    </row>
    <row r="94" spans="1:11">
      <c r="A94">
        <v>125</v>
      </c>
      <c r="B94" s="2">
        <v>49033</v>
      </c>
      <c r="C94" s="1">
        <v>9390.48</v>
      </c>
      <c r="D94" s="1">
        <v>9092.9500000000007</v>
      </c>
      <c r="E94">
        <v>476.43</v>
      </c>
      <c r="F94">
        <v>196.14</v>
      </c>
      <c r="G94" s="1">
        <v>19156</v>
      </c>
      <c r="H94" s="1">
        <v>1079904.6000000001</v>
      </c>
      <c r="I94" s="1">
        <v>93</v>
      </c>
      <c r="J94" s="1">
        <v>12900</v>
      </c>
      <c r="K94" s="1">
        <f t="shared" si="7"/>
        <v>16412.402489688797</v>
      </c>
    </row>
    <row r="95" spans="1:11">
      <c r="A95">
        <v>126</v>
      </c>
      <c r="B95" s="2">
        <v>49064</v>
      </c>
      <c r="C95" s="1">
        <v>9390.48</v>
      </c>
      <c r="D95" s="1">
        <v>9014.56</v>
      </c>
      <c r="E95">
        <v>472.28</v>
      </c>
      <c r="F95">
        <v>196.14</v>
      </c>
      <c r="G95" s="1">
        <v>19073.46</v>
      </c>
      <c r="H95" s="1">
        <v>1070514.1200000001</v>
      </c>
      <c r="I95" s="1">
        <v>94</v>
      </c>
      <c r="J95" s="1">
        <v>12900</v>
      </c>
      <c r="K95" s="1">
        <f t="shared" si="7"/>
        <v>16412.402489688797</v>
      </c>
    </row>
    <row r="96" spans="1:11">
      <c r="A96">
        <v>127</v>
      </c>
      <c r="B96" s="2">
        <v>49094</v>
      </c>
      <c r="C96" s="1">
        <v>9390.48</v>
      </c>
      <c r="D96" s="1">
        <v>8936.18</v>
      </c>
      <c r="E96">
        <v>468.14</v>
      </c>
      <c r="F96">
        <v>196.14</v>
      </c>
      <c r="G96" s="1">
        <v>18990.939999999999</v>
      </c>
      <c r="H96" s="1">
        <v>1061123.6399999999</v>
      </c>
      <c r="I96" s="1">
        <v>95</v>
      </c>
      <c r="J96" s="1">
        <v>12900</v>
      </c>
      <c r="K96" s="1">
        <f t="shared" si="7"/>
        <v>16412.402489688797</v>
      </c>
    </row>
    <row r="97" spans="1:11">
      <c r="A97">
        <v>128</v>
      </c>
      <c r="B97" s="2">
        <v>49125</v>
      </c>
      <c r="C97" s="1">
        <v>9390.48</v>
      </c>
      <c r="D97" s="1">
        <v>8857.7900000000009</v>
      </c>
      <c r="E97">
        <v>464</v>
      </c>
      <c r="F97">
        <v>196.14</v>
      </c>
      <c r="G97" s="1">
        <v>18908.41</v>
      </c>
      <c r="H97" s="1">
        <v>1051733.1599999999</v>
      </c>
      <c r="I97" s="1">
        <v>96</v>
      </c>
      <c r="J97" s="1">
        <v>12900</v>
      </c>
      <c r="K97" s="1">
        <f t="shared" si="7"/>
        <v>16412.402489688797</v>
      </c>
    </row>
    <row r="98" spans="1:11">
      <c r="A98">
        <v>129</v>
      </c>
      <c r="B98" s="2">
        <v>49155</v>
      </c>
      <c r="C98" s="1">
        <v>9390.48</v>
      </c>
      <c r="D98" s="1">
        <v>8779.4</v>
      </c>
      <c r="E98">
        <v>459.85</v>
      </c>
      <c r="F98">
        <v>196.14</v>
      </c>
      <c r="G98" s="1">
        <v>18825.87</v>
      </c>
      <c r="H98" s="1">
        <v>1042342.68</v>
      </c>
      <c r="I98" s="1">
        <v>97</v>
      </c>
      <c r="J98" s="1">
        <v>12900</v>
      </c>
      <c r="K98" s="1">
        <f>K97*(180-I97)*(1+$O$1)/(180-I97)</f>
        <v>16986.8365768279</v>
      </c>
    </row>
    <row r="99" spans="1:11">
      <c r="A99">
        <v>130</v>
      </c>
      <c r="B99" s="2">
        <v>49186</v>
      </c>
      <c r="C99" s="1">
        <v>9390.48</v>
      </c>
      <c r="D99" s="1">
        <v>8701.01</v>
      </c>
      <c r="E99">
        <v>455.72</v>
      </c>
      <c r="F99">
        <v>196.14</v>
      </c>
      <c r="G99" s="1">
        <v>18743.349999999999</v>
      </c>
      <c r="H99" s="1">
        <v>1032952.19</v>
      </c>
      <c r="I99" s="1">
        <v>98</v>
      </c>
      <c r="J99" s="1">
        <v>12900</v>
      </c>
      <c r="K99" s="1">
        <f>K98</f>
        <v>16986.8365768279</v>
      </c>
    </row>
    <row r="100" spans="1:11">
      <c r="A100">
        <v>131</v>
      </c>
      <c r="B100" s="2">
        <v>49217</v>
      </c>
      <c r="C100" s="1">
        <v>9390.48</v>
      </c>
      <c r="D100" s="1">
        <v>8622.6299999999992</v>
      </c>
      <c r="E100">
        <v>451.57</v>
      </c>
      <c r="F100">
        <v>196.14</v>
      </c>
      <c r="G100" s="1">
        <v>18660.82</v>
      </c>
      <c r="H100" s="1">
        <v>1023561.71</v>
      </c>
      <c r="I100" s="1">
        <v>99</v>
      </c>
      <c r="J100" s="1">
        <v>12900</v>
      </c>
      <c r="K100" s="1">
        <f t="shared" ref="K100:K109" si="8">K99</f>
        <v>16986.8365768279</v>
      </c>
    </row>
    <row r="101" spans="1:11">
      <c r="A101">
        <v>132</v>
      </c>
      <c r="B101" s="2">
        <v>49247</v>
      </c>
      <c r="C101" s="1">
        <v>9390.48</v>
      </c>
      <c r="D101" s="1">
        <v>8544.24</v>
      </c>
      <c r="E101">
        <v>447.43</v>
      </c>
      <c r="F101">
        <v>196.14</v>
      </c>
      <c r="G101" s="1">
        <v>18578.29</v>
      </c>
      <c r="H101" s="1">
        <v>1014171.23</v>
      </c>
      <c r="I101" s="1">
        <v>100</v>
      </c>
      <c r="J101" s="1">
        <v>12900</v>
      </c>
      <c r="K101" s="1">
        <f t="shared" si="8"/>
        <v>16986.8365768279</v>
      </c>
    </row>
    <row r="102" spans="1:11">
      <c r="A102">
        <v>133</v>
      </c>
      <c r="B102" s="2">
        <v>49278</v>
      </c>
      <c r="C102" s="1">
        <v>9390.48</v>
      </c>
      <c r="D102" s="1">
        <v>8465.85</v>
      </c>
      <c r="E102">
        <v>443.29</v>
      </c>
      <c r="F102">
        <v>196.14</v>
      </c>
      <c r="G102" s="1">
        <v>18495.759999999998</v>
      </c>
      <c r="H102" s="1">
        <v>1004780.75</v>
      </c>
      <c r="I102" s="1">
        <v>101</v>
      </c>
      <c r="J102" s="1">
        <v>12900</v>
      </c>
      <c r="K102" s="1">
        <f t="shared" si="8"/>
        <v>16986.8365768279</v>
      </c>
    </row>
    <row r="103" spans="1:11">
      <c r="A103">
        <v>134</v>
      </c>
      <c r="B103" s="2">
        <v>49308</v>
      </c>
      <c r="C103" s="1">
        <v>9390.48</v>
      </c>
      <c r="D103" s="1">
        <v>8387.4599999999991</v>
      </c>
      <c r="E103">
        <v>439.14</v>
      </c>
      <c r="F103">
        <v>196.14</v>
      </c>
      <c r="G103" s="1">
        <v>18413.22</v>
      </c>
      <c r="H103" s="1">
        <v>995390.27</v>
      </c>
      <c r="I103" s="1">
        <v>102</v>
      </c>
      <c r="J103" s="1">
        <v>12900</v>
      </c>
      <c r="K103" s="1">
        <f t="shared" si="8"/>
        <v>16986.8365768279</v>
      </c>
    </row>
    <row r="104" spans="1:11">
      <c r="A104">
        <v>135</v>
      </c>
      <c r="B104" s="2">
        <v>49339</v>
      </c>
      <c r="C104" s="1">
        <v>9390.48</v>
      </c>
      <c r="D104" s="1">
        <v>8309.08</v>
      </c>
      <c r="E104">
        <v>435</v>
      </c>
      <c r="F104">
        <v>196.14</v>
      </c>
      <c r="G104" s="1">
        <v>18330.7</v>
      </c>
      <c r="H104" s="1">
        <v>985999.78</v>
      </c>
      <c r="I104" s="1">
        <v>103</v>
      </c>
      <c r="J104" s="1">
        <v>12900</v>
      </c>
      <c r="K104" s="1">
        <f t="shared" si="8"/>
        <v>16986.8365768279</v>
      </c>
    </row>
    <row r="105" spans="1:11">
      <c r="A105">
        <v>136</v>
      </c>
      <c r="B105" s="2">
        <v>49368</v>
      </c>
      <c r="C105" s="1">
        <v>9390.48</v>
      </c>
      <c r="D105" s="1">
        <v>8230.69</v>
      </c>
      <c r="E105">
        <v>430.85</v>
      </c>
      <c r="F105">
        <v>196.14</v>
      </c>
      <c r="G105" s="1">
        <v>18248.16</v>
      </c>
      <c r="H105" s="1">
        <v>976609.3</v>
      </c>
      <c r="I105" s="1">
        <v>104</v>
      </c>
      <c r="J105" s="1">
        <v>12900</v>
      </c>
      <c r="K105" s="1">
        <f t="shared" si="8"/>
        <v>16986.8365768279</v>
      </c>
    </row>
    <row r="106" spans="1:11">
      <c r="A106">
        <v>137</v>
      </c>
      <c r="B106" s="2">
        <v>49398</v>
      </c>
      <c r="C106" s="1">
        <v>9390.48</v>
      </c>
      <c r="D106" s="1">
        <v>8152.3</v>
      </c>
      <c r="E106">
        <v>426.71</v>
      </c>
      <c r="F106">
        <v>196.14</v>
      </c>
      <c r="G106" s="1">
        <v>18165.63</v>
      </c>
      <c r="H106" s="1">
        <v>967218.82</v>
      </c>
      <c r="I106" s="1">
        <v>105</v>
      </c>
      <c r="J106" s="1">
        <v>12900</v>
      </c>
      <c r="K106" s="1">
        <f t="shared" si="8"/>
        <v>16986.8365768279</v>
      </c>
    </row>
    <row r="107" spans="1:11">
      <c r="A107">
        <v>138</v>
      </c>
      <c r="B107" s="2">
        <v>49429</v>
      </c>
      <c r="C107" s="1">
        <v>9390.48</v>
      </c>
      <c r="D107" s="1">
        <v>8073.91</v>
      </c>
      <c r="E107">
        <v>422.57</v>
      </c>
      <c r="F107">
        <v>196.14</v>
      </c>
      <c r="G107" s="1">
        <v>18083.099999999999</v>
      </c>
      <c r="H107" s="1">
        <v>957828.34</v>
      </c>
      <c r="I107" s="1">
        <v>106</v>
      </c>
      <c r="J107" s="1">
        <v>12900</v>
      </c>
      <c r="K107" s="1">
        <f t="shared" si="8"/>
        <v>16986.8365768279</v>
      </c>
    </row>
    <row r="108" spans="1:11">
      <c r="A108">
        <v>139</v>
      </c>
      <c r="B108" s="2">
        <v>49459</v>
      </c>
      <c r="C108" s="1">
        <v>9390.48</v>
      </c>
      <c r="D108" s="1">
        <v>7995.53</v>
      </c>
      <c r="E108">
        <v>418.42</v>
      </c>
      <c r="F108">
        <v>196.14</v>
      </c>
      <c r="G108" s="1">
        <v>18000.57</v>
      </c>
      <c r="H108" s="1">
        <v>948437.86</v>
      </c>
      <c r="I108" s="1">
        <v>107</v>
      </c>
      <c r="J108" s="1">
        <v>12900</v>
      </c>
      <c r="K108" s="1">
        <f t="shared" si="8"/>
        <v>16986.8365768279</v>
      </c>
    </row>
    <row r="109" spans="1:11">
      <c r="A109">
        <v>140</v>
      </c>
      <c r="B109" s="2">
        <v>49490</v>
      </c>
      <c r="C109" s="1">
        <v>9390.48</v>
      </c>
      <c r="D109" s="1">
        <v>7917.14</v>
      </c>
      <c r="E109">
        <v>414.29</v>
      </c>
      <c r="F109">
        <v>196.14</v>
      </c>
      <c r="G109" s="1">
        <v>17918.05</v>
      </c>
      <c r="H109" s="1">
        <v>939047.37</v>
      </c>
      <c r="I109" s="1">
        <v>108</v>
      </c>
      <c r="J109" s="1">
        <v>12900</v>
      </c>
      <c r="K109" s="1">
        <f t="shared" si="8"/>
        <v>16986.8365768279</v>
      </c>
    </row>
    <row r="110" spans="1:11">
      <c r="A110">
        <v>141</v>
      </c>
      <c r="B110" s="2">
        <v>49520</v>
      </c>
      <c r="C110" s="1">
        <v>9390.48</v>
      </c>
      <c r="D110" s="1">
        <v>7838.75</v>
      </c>
      <c r="E110">
        <v>410.14</v>
      </c>
      <c r="F110">
        <v>196.14</v>
      </c>
      <c r="G110" s="1">
        <v>17835.509999999998</v>
      </c>
      <c r="H110" s="1">
        <v>929656.89</v>
      </c>
      <c r="I110" s="1">
        <v>109</v>
      </c>
      <c r="J110" s="1">
        <v>12900</v>
      </c>
      <c r="K110" s="1">
        <f>K109*(180-I109)*(1+$O$1)/(180-I109)</f>
        <v>17581.375857016872</v>
      </c>
    </row>
    <row r="111" spans="1:11">
      <c r="A111">
        <v>142</v>
      </c>
      <c r="B111" s="2">
        <v>49551</v>
      </c>
      <c r="C111" s="1">
        <v>9390.48</v>
      </c>
      <c r="D111" s="1">
        <v>7760.36</v>
      </c>
      <c r="E111">
        <v>406</v>
      </c>
      <c r="F111">
        <v>196.14</v>
      </c>
      <c r="G111" s="1">
        <v>17752.98</v>
      </c>
      <c r="H111" s="1">
        <v>920266.41</v>
      </c>
      <c r="I111" s="1">
        <v>110</v>
      </c>
      <c r="J111" s="1">
        <v>12900</v>
      </c>
      <c r="K111" s="1">
        <f>K110</f>
        <v>17581.375857016872</v>
      </c>
    </row>
    <row r="112" spans="1:11">
      <c r="A112">
        <v>143</v>
      </c>
      <c r="B112" s="2">
        <v>49582</v>
      </c>
      <c r="C112" s="1">
        <v>9390.48</v>
      </c>
      <c r="D112" s="1">
        <v>7681.98</v>
      </c>
      <c r="E112">
        <v>401.86</v>
      </c>
      <c r="F112">
        <v>196.14</v>
      </c>
      <c r="G112" s="1">
        <v>17670.46</v>
      </c>
      <c r="H112" s="1">
        <v>910875.93</v>
      </c>
      <c r="I112" s="1">
        <v>111</v>
      </c>
      <c r="J112" s="1">
        <v>12900</v>
      </c>
      <c r="K112" s="1">
        <f t="shared" ref="K112:K121" si="9">K111</f>
        <v>17581.375857016872</v>
      </c>
    </row>
    <row r="113" spans="1:11">
      <c r="A113">
        <v>144</v>
      </c>
      <c r="B113" s="2">
        <v>49612</v>
      </c>
      <c r="C113" s="1">
        <v>9390.48</v>
      </c>
      <c r="D113" s="1">
        <v>7603.59</v>
      </c>
      <c r="E113">
        <v>397.71</v>
      </c>
      <c r="F113">
        <v>196.14</v>
      </c>
      <c r="G113" s="1">
        <v>17587.919999999998</v>
      </c>
      <c r="H113" s="1">
        <v>901485.45</v>
      </c>
      <c r="I113" s="1">
        <v>112</v>
      </c>
      <c r="J113" s="1">
        <v>12900</v>
      </c>
      <c r="K113" s="1">
        <f t="shared" si="9"/>
        <v>17581.375857016872</v>
      </c>
    </row>
    <row r="114" spans="1:11">
      <c r="A114">
        <v>145</v>
      </c>
      <c r="B114" s="2">
        <v>49643</v>
      </c>
      <c r="C114" s="1">
        <v>9390.48</v>
      </c>
      <c r="D114" s="1">
        <v>7525.2</v>
      </c>
      <c r="E114">
        <v>393.57</v>
      </c>
      <c r="F114">
        <v>196.14</v>
      </c>
      <c r="G114" s="1">
        <v>17505.39</v>
      </c>
      <c r="H114" s="1">
        <v>892094.96</v>
      </c>
      <c r="I114" s="1">
        <v>113</v>
      </c>
      <c r="J114" s="1">
        <v>12900</v>
      </c>
      <c r="K114" s="1">
        <f t="shared" si="9"/>
        <v>17581.375857016872</v>
      </c>
    </row>
    <row r="115" spans="1:11">
      <c r="A115">
        <v>146</v>
      </c>
      <c r="B115" s="2">
        <v>49673</v>
      </c>
      <c r="C115" s="1">
        <v>9390.48</v>
      </c>
      <c r="D115" s="1">
        <v>7446.81</v>
      </c>
      <c r="E115">
        <v>389.43</v>
      </c>
      <c r="F115">
        <v>196.14</v>
      </c>
      <c r="G115" s="1">
        <v>17422.86</v>
      </c>
      <c r="H115" s="1">
        <v>882704.48</v>
      </c>
      <c r="I115" s="1">
        <v>114</v>
      </c>
      <c r="J115" s="1">
        <v>12900</v>
      </c>
      <c r="K115" s="1">
        <f t="shared" si="9"/>
        <v>17581.375857016872</v>
      </c>
    </row>
    <row r="116" spans="1:11">
      <c r="A116">
        <v>147</v>
      </c>
      <c r="B116" s="2">
        <v>49704</v>
      </c>
      <c r="C116" s="1">
        <v>9390.48</v>
      </c>
      <c r="D116" s="1">
        <v>7368.43</v>
      </c>
      <c r="E116">
        <v>385.28</v>
      </c>
      <c r="F116">
        <v>196.14</v>
      </c>
      <c r="G116" s="1">
        <v>17340.330000000002</v>
      </c>
      <c r="H116" s="1">
        <v>873314</v>
      </c>
      <c r="I116" s="1">
        <v>115</v>
      </c>
      <c r="J116" s="1">
        <v>12900</v>
      </c>
      <c r="K116" s="1">
        <f t="shared" si="9"/>
        <v>17581.375857016872</v>
      </c>
    </row>
    <row r="117" spans="1:11">
      <c r="A117">
        <v>148</v>
      </c>
      <c r="B117" s="2">
        <v>49734</v>
      </c>
      <c r="C117" s="1">
        <v>9390.48</v>
      </c>
      <c r="D117" s="1">
        <v>7290.04</v>
      </c>
      <c r="E117">
        <v>381.14</v>
      </c>
      <c r="F117">
        <v>196.14</v>
      </c>
      <c r="G117" s="1">
        <v>17257.8</v>
      </c>
      <c r="H117" s="1">
        <v>863923.52</v>
      </c>
      <c r="I117" s="1">
        <v>116</v>
      </c>
      <c r="J117" s="1">
        <v>12900</v>
      </c>
      <c r="K117" s="1">
        <f t="shared" si="9"/>
        <v>17581.375857016872</v>
      </c>
    </row>
    <row r="118" spans="1:11">
      <c r="A118">
        <v>149</v>
      </c>
      <c r="B118" s="2">
        <v>49764</v>
      </c>
      <c r="C118" s="1">
        <v>9390.48</v>
      </c>
      <c r="D118" s="1">
        <v>7211.65</v>
      </c>
      <c r="E118">
        <v>376.99</v>
      </c>
      <c r="F118">
        <v>196.14</v>
      </c>
      <c r="G118" s="1">
        <v>17175.259999999998</v>
      </c>
      <c r="H118" s="1">
        <v>854533.03</v>
      </c>
      <c r="I118" s="1">
        <v>117</v>
      </c>
      <c r="J118" s="1">
        <v>12900</v>
      </c>
      <c r="K118" s="1">
        <f t="shared" si="9"/>
        <v>17581.375857016872</v>
      </c>
    </row>
    <row r="119" spans="1:11">
      <c r="A119">
        <v>150</v>
      </c>
      <c r="B119" s="2">
        <v>49795</v>
      </c>
      <c r="C119" s="1">
        <v>9390.48</v>
      </c>
      <c r="D119" s="1">
        <v>7133.26</v>
      </c>
      <c r="E119">
        <v>372.86</v>
      </c>
      <c r="F119">
        <v>196.14</v>
      </c>
      <c r="G119" s="1">
        <v>17092.740000000002</v>
      </c>
      <c r="H119" s="1">
        <v>845142.55</v>
      </c>
      <c r="I119" s="1">
        <v>118</v>
      </c>
      <c r="J119" s="1">
        <v>12900</v>
      </c>
      <c r="K119" s="1">
        <f t="shared" si="9"/>
        <v>17581.375857016872</v>
      </c>
    </row>
    <row r="120" spans="1:11">
      <c r="A120">
        <v>151</v>
      </c>
      <c r="B120" s="2">
        <v>49825</v>
      </c>
      <c r="C120" s="1">
        <v>9390.48</v>
      </c>
      <c r="D120" s="1">
        <v>7054.87</v>
      </c>
      <c r="E120">
        <v>368.72</v>
      </c>
      <c r="F120">
        <v>196.14</v>
      </c>
      <c r="G120" s="1">
        <v>17010.21</v>
      </c>
      <c r="H120" s="1">
        <v>835752.07</v>
      </c>
      <c r="I120" s="1">
        <v>119</v>
      </c>
      <c r="J120" s="1">
        <v>12900</v>
      </c>
      <c r="K120" s="1">
        <f t="shared" si="9"/>
        <v>17581.375857016872</v>
      </c>
    </row>
    <row r="121" spans="1:11">
      <c r="A121">
        <v>152</v>
      </c>
      <c r="B121" s="2">
        <v>49856</v>
      </c>
      <c r="C121" s="1">
        <v>9390.48</v>
      </c>
      <c r="D121" s="1">
        <v>6976.49</v>
      </c>
      <c r="E121">
        <v>364.57</v>
      </c>
      <c r="F121">
        <v>196.14</v>
      </c>
      <c r="G121" s="1">
        <v>16927.68</v>
      </c>
      <c r="H121" s="1">
        <v>826361.59</v>
      </c>
      <c r="I121" s="1">
        <v>120</v>
      </c>
      <c r="J121" s="1">
        <v>12900</v>
      </c>
      <c r="K121" s="1">
        <f t="shared" si="9"/>
        <v>17581.375857016872</v>
      </c>
    </row>
    <row r="122" spans="1:11">
      <c r="A122">
        <v>153</v>
      </c>
      <c r="B122" s="2">
        <v>49886</v>
      </c>
      <c r="C122" s="1">
        <v>9390.48</v>
      </c>
      <c r="D122" s="1">
        <v>6898.1</v>
      </c>
      <c r="E122">
        <v>360.43</v>
      </c>
      <c r="F122">
        <v>196.14</v>
      </c>
      <c r="G122" s="1">
        <v>16845.150000000001</v>
      </c>
      <c r="H122" s="1">
        <v>816971.11</v>
      </c>
      <c r="I122" s="1">
        <v>121</v>
      </c>
      <c r="J122" s="1">
        <v>12900</v>
      </c>
      <c r="K122" s="1">
        <f>K121*(180-I121)*(1+$O$1)/(180-I121)</f>
        <v>18196.724012012462</v>
      </c>
    </row>
    <row r="123" spans="1:11">
      <c r="A123">
        <v>154</v>
      </c>
      <c r="B123" s="2">
        <v>49917</v>
      </c>
      <c r="C123" s="1">
        <v>9390.48</v>
      </c>
      <c r="D123" s="1">
        <v>6819.71</v>
      </c>
      <c r="E123">
        <v>356.28</v>
      </c>
      <c r="F123">
        <v>196.14</v>
      </c>
      <c r="G123" s="1">
        <v>16762.61</v>
      </c>
      <c r="H123" s="1">
        <v>807580.62</v>
      </c>
      <c r="I123" s="1">
        <v>122</v>
      </c>
      <c r="J123" s="1">
        <v>12900</v>
      </c>
      <c r="K123" s="1">
        <f>K122</f>
        <v>18196.724012012462</v>
      </c>
    </row>
    <row r="124" spans="1:11">
      <c r="A124">
        <v>155</v>
      </c>
      <c r="B124" s="2">
        <v>49948</v>
      </c>
      <c r="C124" s="1">
        <v>9390.48</v>
      </c>
      <c r="D124" s="1">
        <v>6741.32</v>
      </c>
      <c r="E124">
        <v>352.14</v>
      </c>
      <c r="F124">
        <v>196.14</v>
      </c>
      <c r="G124" s="1">
        <v>16680.080000000002</v>
      </c>
      <c r="H124" s="1">
        <v>798190.14</v>
      </c>
      <c r="I124" s="1">
        <v>123</v>
      </c>
      <c r="J124" s="1">
        <v>12900</v>
      </c>
      <c r="K124" s="1">
        <f t="shared" ref="K124:K133" si="10">K123</f>
        <v>18196.724012012462</v>
      </c>
    </row>
    <row r="125" spans="1:11">
      <c r="A125">
        <v>156</v>
      </c>
      <c r="B125" s="2">
        <v>49978</v>
      </c>
      <c r="C125" s="1">
        <v>9390.48</v>
      </c>
      <c r="D125" s="1">
        <v>6662.94</v>
      </c>
      <c r="E125">
        <v>348</v>
      </c>
      <c r="F125">
        <v>196.14</v>
      </c>
      <c r="G125" s="1">
        <v>16597.560000000001</v>
      </c>
      <c r="H125" s="1">
        <v>788799.66</v>
      </c>
      <c r="I125" s="1">
        <v>124</v>
      </c>
      <c r="J125" s="1">
        <v>12900</v>
      </c>
      <c r="K125" s="1">
        <f t="shared" si="10"/>
        <v>18196.724012012462</v>
      </c>
    </row>
    <row r="126" spans="1:11">
      <c r="A126">
        <v>157</v>
      </c>
      <c r="B126" s="2">
        <v>50009</v>
      </c>
      <c r="C126" s="1">
        <v>9390.48</v>
      </c>
      <c r="D126" s="1">
        <v>6584.55</v>
      </c>
      <c r="E126">
        <v>343.85</v>
      </c>
      <c r="F126">
        <v>196.14</v>
      </c>
      <c r="G126" s="1">
        <v>16515.02</v>
      </c>
      <c r="H126" s="1">
        <v>779409.18</v>
      </c>
      <c r="I126" s="1">
        <v>125</v>
      </c>
      <c r="J126" s="1">
        <v>12900</v>
      </c>
      <c r="K126" s="1">
        <f t="shared" si="10"/>
        <v>18196.724012012462</v>
      </c>
    </row>
    <row r="127" spans="1:11">
      <c r="A127">
        <v>158</v>
      </c>
      <c r="B127" s="2">
        <v>50039</v>
      </c>
      <c r="C127" s="1">
        <v>9390.48</v>
      </c>
      <c r="D127" s="1">
        <v>6506.16</v>
      </c>
      <c r="E127">
        <v>339.71</v>
      </c>
      <c r="F127">
        <v>196.14</v>
      </c>
      <c r="G127" s="1">
        <v>16432.490000000002</v>
      </c>
      <c r="H127" s="1">
        <v>770018.7</v>
      </c>
      <c r="I127" s="1">
        <v>126</v>
      </c>
      <c r="J127" s="1">
        <v>12900</v>
      </c>
      <c r="K127" s="1">
        <f t="shared" si="10"/>
        <v>18196.724012012462</v>
      </c>
    </row>
    <row r="128" spans="1:11">
      <c r="A128">
        <v>159</v>
      </c>
      <c r="B128" s="2">
        <v>50070</v>
      </c>
      <c r="C128" s="1">
        <v>9390.48</v>
      </c>
      <c r="D128" s="1">
        <v>6427.77</v>
      </c>
      <c r="E128">
        <v>335.58</v>
      </c>
      <c r="F128">
        <v>196.14</v>
      </c>
      <c r="G128" s="1">
        <v>16349.97</v>
      </c>
      <c r="H128" s="1">
        <v>760628.21</v>
      </c>
      <c r="I128" s="1">
        <v>127</v>
      </c>
      <c r="J128" s="1">
        <v>12900</v>
      </c>
      <c r="K128" s="1">
        <f t="shared" si="10"/>
        <v>18196.724012012462</v>
      </c>
    </row>
    <row r="129" spans="1:11">
      <c r="A129">
        <v>160</v>
      </c>
      <c r="B129" s="2">
        <v>50099</v>
      </c>
      <c r="C129" s="1">
        <v>9390.48</v>
      </c>
      <c r="D129" s="1">
        <v>6349.39</v>
      </c>
      <c r="E129">
        <v>331.43</v>
      </c>
      <c r="F129">
        <v>196.14</v>
      </c>
      <c r="G129" s="1">
        <v>16267.44</v>
      </c>
      <c r="H129" s="1">
        <v>751237.73</v>
      </c>
      <c r="I129" s="1">
        <v>128</v>
      </c>
      <c r="J129" s="1">
        <v>12900</v>
      </c>
      <c r="K129" s="1">
        <f t="shared" si="10"/>
        <v>18196.724012012462</v>
      </c>
    </row>
    <row r="130" spans="1:11">
      <c r="A130">
        <v>161</v>
      </c>
      <c r="B130" s="2">
        <v>50129</v>
      </c>
      <c r="C130" s="1">
        <v>9390.48</v>
      </c>
      <c r="D130" s="1">
        <v>6271</v>
      </c>
      <c r="E130">
        <v>327.29000000000002</v>
      </c>
      <c r="F130">
        <v>196.14</v>
      </c>
      <c r="G130" s="1">
        <v>16184.91</v>
      </c>
      <c r="H130" s="1">
        <v>741847.25</v>
      </c>
      <c r="I130" s="1">
        <v>129</v>
      </c>
      <c r="J130" s="1">
        <v>12900</v>
      </c>
      <c r="K130" s="1">
        <f t="shared" si="10"/>
        <v>18196.724012012462</v>
      </c>
    </row>
    <row r="131" spans="1:11">
      <c r="A131">
        <v>162</v>
      </c>
      <c r="B131" s="2">
        <v>50160</v>
      </c>
      <c r="C131" s="1">
        <v>9390.48</v>
      </c>
      <c r="D131" s="1">
        <v>6192.61</v>
      </c>
      <c r="E131">
        <v>323.14</v>
      </c>
      <c r="F131">
        <v>196.14</v>
      </c>
      <c r="G131" s="1">
        <v>16102.37</v>
      </c>
      <c r="H131" s="1">
        <v>732456.77</v>
      </c>
      <c r="I131" s="1">
        <v>130</v>
      </c>
      <c r="J131" s="1">
        <v>12900</v>
      </c>
      <c r="K131" s="1">
        <f t="shared" si="10"/>
        <v>18196.724012012462</v>
      </c>
    </row>
    <row r="132" spans="1:11">
      <c r="A132">
        <v>163</v>
      </c>
      <c r="B132" s="2">
        <v>50190</v>
      </c>
      <c r="C132" s="1">
        <v>9390.48</v>
      </c>
      <c r="D132" s="1">
        <v>6114.22</v>
      </c>
      <c r="E132">
        <v>319</v>
      </c>
      <c r="F132">
        <v>196.14</v>
      </c>
      <c r="G132" s="1">
        <v>16019.84</v>
      </c>
      <c r="H132" s="1">
        <v>723066.29</v>
      </c>
      <c r="I132" s="1">
        <v>131</v>
      </c>
      <c r="J132" s="1">
        <v>12900</v>
      </c>
      <c r="K132" s="1">
        <f t="shared" si="10"/>
        <v>18196.724012012462</v>
      </c>
    </row>
    <row r="133" spans="1:11">
      <c r="A133">
        <v>164</v>
      </c>
      <c r="B133" s="2">
        <v>50221</v>
      </c>
      <c r="C133" s="1">
        <v>9390.48</v>
      </c>
      <c r="D133" s="1">
        <v>6035.84</v>
      </c>
      <c r="E133">
        <v>314.86</v>
      </c>
      <c r="F133">
        <v>196.14</v>
      </c>
      <c r="G133" s="1">
        <v>15937.32</v>
      </c>
      <c r="H133" s="1">
        <v>713675.8</v>
      </c>
      <c r="I133" s="1">
        <v>132</v>
      </c>
      <c r="J133" s="1">
        <v>12900</v>
      </c>
      <c r="K133" s="1">
        <f t="shared" si="10"/>
        <v>18196.724012012462</v>
      </c>
    </row>
    <row r="134" spans="1:11">
      <c r="A134">
        <v>165</v>
      </c>
      <c r="B134" s="2">
        <v>50251</v>
      </c>
      <c r="C134" s="1">
        <v>9390.48</v>
      </c>
      <c r="D134" s="1">
        <v>5957.45</v>
      </c>
      <c r="E134">
        <v>310.70999999999998</v>
      </c>
      <c r="F134">
        <v>196.14</v>
      </c>
      <c r="G134" s="1">
        <v>15854.78</v>
      </c>
      <c r="H134" s="1">
        <v>704285.32</v>
      </c>
      <c r="I134" s="1">
        <v>133</v>
      </c>
      <c r="J134" s="1">
        <v>12900</v>
      </c>
      <c r="K134" s="1">
        <f>K133*(180-I133)*(1+$O$1)/(180-I133)</f>
        <v>18833.609352432897</v>
      </c>
    </row>
    <row r="135" spans="1:11">
      <c r="A135">
        <v>166</v>
      </c>
      <c r="B135" s="2">
        <v>50282</v>
      </c>
      <c r="C135" s="1">
        <v>9390.48</v>
      </c>
      <c r="D135" s="1">
        <v>5879.06</v>
      </c>
      <c r="E135">
        <v>306.57</v>
      </c>
      <c r="F135">
        <v>196.14</v>
      </c>
      <c r="G135" s="1">
        <v>15772.25</v>
      </c>
      <c r="H135" s="1">
        <v>694894.84</v>
      </c>
      <c r="I135" s="1">
        <v>134</v>
      </c>
      <c r="J135" s="1">
        <v>12900</v>
      </c>
      <c r="K135" s="1">
        <f>K134</f>
        <v>18833.609352432897</v>
      </c>
    </row>
    <row r="136" spans="1:11">
      <c r="A136">
        <v>167</v>
      </c>
      <c r="B136" s="2">
        <v>50313</v>
      </c>
      <c r="C136" s="1">
        <v>9390.48</v>
      </c>
      <c r="D136" s="1">
        <v>5800.67</v>
      </c>
      <c r="E136">
        <v>302.42</v>
      </c>
      <c r="F136">
        <v>196.14</v>
      </c>
      <c r="G136" s="1">
        <v>15689.71</v>
      </c>
      <c r="H136" s="1">
        <v>685504.36</v>
      </c>
      <c r="I136" s="1">
        <v>135</v>
      </c>
      <c r="J136" s="1">
        <v>12900</v>
      </c>
      <c r="K136" s="1">
        <f t="shared" ref="K136:K145" si="11">K135</f>
        <v>18833.609352432897</v>
      </c>
    </row>
    <row r="137" spans="1:11">
      <c r="A137">
        <v>168</v>
      </c>
      <c r="B137" s="2">
        <v>50343</v>
      </c>
      <c r="C137" s="1">
        <v>9390.48</v>
      </c>
      <c r="D137" s="1">
        <v>5722.29</v>
      </c>
      <c r="E137">
        <v>298.27999999999997</v>
      </c>
      <c r="F137">
        <v>196.14</v>
      </c>
      <c r="G137" s="1">
        <v>15607.19</v>
      </c>
      <c r="H137" s="1">
        <v>676113.88</v>
      </c>
      <c r="I137" s="1">
        <v>136</v>
      </c>
      <c r="J137" s="1">
        <v>12900</v>
      </c>
      <c r="K137" s="1">
        <f t="shared" si="11"/>
        <v>18833.609352432897</v>
      </c>
    </row>
    <row r="138" spans="1:11">
      <c r="A138">
        <v>169</v>
      </c>
      <c r="B138" s="2">
        <v>50374</v>
      </c>
      <c r="C138" s="1">
        <v>9390.48</v>
      </c>
      <c r="D138" s="1">
        <v>5643.9</v>
      </c>
      <c r="E138">
        <v>294.14999999999998</v>
      </c>
      <c r="F138">
        <v>196.14</v>
      </c>
      <c r="G138" s="1">
        <v>15524.67</v>
      </c>
      <c r="H138" s="1">
        <v>666723.39</v>
      </c>
      <c r="I138" s="1">
        <v>137</v>
      </c>
      <c r="J138" s="1">
        <v>12900</v>
      </c>
      <c r="K138" s="1">
        <f t="shared" si="11"/>
        <v>18833.609352432897</v>
      </c>
    </row>
    <row r="139" spans="1:11">
      <c r="A139">
        <v>170</v>
      </c>
      <c r="B139" s="2">
        <v>50404</v>
      </c>
      <c r="C139" s="1">
        <v>9390.48</v>
      </c>
      <c r="D139" s="1">
        <v>5565.51</v>
      </c>
      <c r="E139">
        <v>290</v>
      </c>
      <c r="F139">
        <v>196.14</v>
      </c>
      <c r="G139" s="1">
        <v>15442.13</v>
      </c>
      <c r="H139" s="1">
        <v>657332.91</v>
      </c>
      <c r="I139" s="1">
        <v>138</v>
      </c>
      <c r="J139" s="1">
        <v>12900</v>
      </c>
      <c r="K139" s="1">
        <f t="shared" si="11"/>
        <v>18833.609352432897</v>
      </c>
    </row>
    <row r="140" spans="1:11">
      <c r="A140">
        <v>171</v>
      </c>
      <c r="B140" s="2">
        <v>50435</v>
      </c>
      <c r="C140" s="1">
        <v>9390.48</v>
      </c>
      <c r="D140" s="1">
        <v>5487.12</v>
      </c>
      <c r="E140">
        <v>285.86</v>
      </c>
      <c r="F140">
        <v>196.14</v>
      </c>
      <c r="G140" s="1">
        <v>15359.6</v>
      </c>
      <c r="H140" s="1">
        <v>647942.43000000005</v>
      </c>
      <c r="I140" s="1">
        <v>139</v>
      </c>
      <c r="J140" s="1">
        <v>12900</v>
      </c>
      <c r="K140" s="1">
        <f t="shared" si="11"/>
        <v>18833.609352432897</v>
      </c>
    </row>
    <row r="141" spans="1:11">
      <c r="A141">
        <v>172</v>
      </c>
      <c r="B141" s="2">
        <v>50464</v>
      </c>
      <c r="C141" s="1">
        <v>9390.48</v>
      </c>
      <c r="D141" s="1">
        <v>5408.74</v>
      </c>
      <c r="E141">
        <v>281.70999999999998</v>
      </c>
      <c r="F141">
        <v>196.14</v>
      </c>
      <c r="G141" s="1">
        <v>15277.07</v>
      </c>
      <c r="H141" s="1">
        <v>638551.94999999995</v>
      </c>
      <c r="I141" s="1">
        <v>140</v>
      </c>
      <c r="J141" s="1">
        <v>12900</v>
      </c>
      <c r="K141" s="1">
        <f t="shared" si="11"/>
        <v>18833.609352432897</v>
      </c>
    </row>
    <row r="142" spans="1:11">
      <c r="A142">
        <v>173</v>
      </c>
      <c r="B142" s="2">
        <v>50494</v>
      </c>
      <c r="C142" s="1">
        <v>9390.48</v>
      </c>
      <c r="D142" s="1">
        <v>5330.35</v>
      </c>
      <c r="E142">
        <v>277.57</v>
      </c>
      <c r="F142">
        <v>196.14</v>
      </c>
      <c r="G142" s="1">
        <v>15194.54</v>
      </c>
      <c r="H142" s="1">
        <v>629161.47</v>
      </c>
      <c r="I142" s="1">
        <v>141</v>
      </c>
      <c r="J142" s="1">
        <v>12900</v>
      </c>
      <c r="K142" s="1">
        <f t="shared" si="11"/>
        <v>18833.609352432897</v>
      </c>
    </row>
    <row r="143" spans="1:11">
      <c r="A143">
        <v>174</v>
      </c>
      <c r="B143" s="2">
        <v>50525</v>
      </c>
      <c r="C143" s="1">
        <v>9390.48</v>
      </c>
      <c r="D143" s="1">
        <v>5251.96</v>
      </c>
      <c r="E143">
        <v>273.43</v>
      </c>
      <c r="F143">
        <v>196.14</v>
      </c>
      <c r="G143" s="1">
        <v>15112.01</v>
      </c>
      <c r="H143" s="1">
        <v>619770.98</v>
      </c>
      <c r="I143" s="1">
        <v>142</v>
      </c>
      <c r="J143" s="1">
        <v>12900</v>
      </c>
      <c r="K143" s="1">
        <f t="shared" si="11"/>
        <v>18833.609352432897</v>
      </c>
    </row>
    <row r="144" spans="1:11">
      <c r="A144">
        <v>175</v>
      </c>
      <c r="B144" s="2">
        <v>50555</v>
      </c>
      <c r="C144" s="1">
        <v>9390.48</v>
      </c>
      <c r="D144" s="1">
        <v>5173.57</v>
      </c>
      <c r="E144">
        <v>269.27999999999997</v>
      </c>
      <c r="F144">
        <v>196.14</v>
      </c>
      <c r="G144" s="1">
        <v>15029.47</v>
      </c>
      <c r="H144" s="1">
        <v>610380.5</v>
      </c>
      <c r="I144" s="1">
        <v>143</v>
      </c>
      <c r="J144" s="1">
        <v>12900</v>
      </c>
      <c r="K144" s="1">
        <f t="shared" si="11"/>
        <v>18833.609352432897</v>
      </c>
    </row>
    <row r="145" spans="1:11">
      <c r="A145">
        <v>176</v>
      </c>
      <c r="B145" s="2">
        <v>50586</v>
      </c>
      <c r="C145" s="1">
        <v>9390.48</v>
      </c>
      <c r="D145" s="1">
        <v>5095.1899999999996</v>
      </c>
      <c r="E145">
        <v>265.14</v>
      </c>
      <c r="F145">
        <v>196.14</v>
      </c>
      <c r="G145" s="1">
        <v>14946.95</v>
      </c>
      <c r="H145" s="1">
        <v>600990.02</v>
      </c>
      <c r="I145" s="1">
        <v>144</v>
      </c>
      <c r="J145" s="1">
        <v>12900</v>
      </c>
      <c r="K145" s="1">
        <f t="shared" si="11"/>
        <v>18833.609352432897</v>
      </c>
    </row>
    <row r="146" spans="1:11">
      <c r="A146">
        <v>177</v>
      </c>
      <c r="B146" s="2">
        <v>50616</v>
      </c>
      <c r="C146" s="1">
        <v>9390.48</v>
      </c>
      <c r="D146" s="1">
        <v>5016.8</v>
      </c>
      <c r="E146">
        <v>260.99</v>
      </c>
      <c r="F146">
        <v>196.14</v>
      </c>
      <c r="G146" s="1">
        <v>14864.41</v>
      </c>
      <c r="H146" s="1">
        <v>591599.54</v>
      </c>
      <c r="I146" s="1">
        <v>145</v>
      </c>
      <c r="J146" s="1">
        <v>12900</v>
      </c>
      <c r="K146" s="1">
        <f>K145*(180-I145)*(1+$O$1)/(180-I145)</f>
        <v>19492.785679768047</v>
      </c>
    </row>
    <row r="147" spans="1:11">
      <c r="A147">
        <v>178</v>
      </c>
      <c r="B147" s="2">
        <v>50647</v>
      </c>
      <c r="C147" s="1">
        <v>9390.48</v>
      </c>
      <c r="D147" s="1">
        <v>4938.41</v>
      </c>
      <c r="E147">
        <v>256.86</v>
      </c>
      <c r="F147">
        <v>196.14</v>
      </c>
      <c r="G147" s="1">
        <v>14781.89</v>
      </c>
      <c r="H147" s="1">
        <v>582209.05000000005</v>
      </c>
      <c r="I147" s="1">
        <v>146</v>
      </c>
      <c r="J147" s="1">
        <v>12900</v>
      </c>
      <c r="K147" s="1">
        <f>K146</f>
        <v>19492.785679768047</v>
      </c>
    </row>
    <row r="148" spans="1:11">
      <c r="A148">
        <v>179</v>
      </c>
      <c r="B148" s="2">
        <v>50678</v>
      </c>
      <c r="C148" s="1">
        <v>9390.48</v>
      </c>
      <c r="D148" s="1">
        <v>4860.0200000000004</v>
      </c>
      <c r="E148">
        <v>252.72</v>
      </c>
      <c r="F148">
        <v>196.14</v>
      </c>
      <c r="G148" s="1">
        <v>14699.36</v>
      </c>
      <c r="H148" s="1">
        <v>572818.56999999995</v>
      </c>
      <c r="I148" s="1">
        <v>147</v>
      </c>
      <c r="J148" s="1">
        <v>12900</v>
      </c>
      <c r="K148" s="1">
        <f t="shared" ref="K148:K157" si="12">K147</f>
        <v>19492.785679768047</v>
      </c>
    </row>
    <row r="149" spans="1:11">
      <c r="A149">
        <v>180</v>
      </c>
      <c r="B149" s="2">
        <v>50708</v>
      </c>
      <c r="C149" s="1">
        <v>9390.48</v>
      </c>
      <c r="D149" s="1">
        <v>4781.6400000000003</v>
      </c>
      <c r="E149">
        <v>248.57</v>
      </c>
      <c r="F149">
        <v>196.14</v>
      </c>
      <c r="G149" s="1">
        <v>14616.83</v>
      </c>
      <c r="H149" s="1">
        <v>563428.09</v>
      </c>
      <c r="I149" s="1">
        <v>148</v>
      </c>
      <c r="J149" s="1">
        <v>12900</v>
      </c>
      <c r="K149" s="1">
        <f t="shared" si="12"/>
        <v>19492.785679768047</v>
      </c>
    </row>
    <row r="150" spans="1:11">
      <c r="A150">
        <v>181</v>
      </c>
      <c r="B150" s="2">
        <v>50739</v>
      </c>
      <c r="C150" s="1">
        <v>9390.48</v>
      </c>
      <c r="D150" s="1">
        <v>4703.25</v>
      </c>
      <c r="E150">
        <v>244.43</v>
      </c>
      <c r="F150">
        <v>196.14</v>
      </c>
      <c r="G150" s="1">
        <v>14534.3</v>
      </c>
      <c r="H150" s="1">
        <v>554037.61</v>
      </c>
      <c r="I150" s="1">
        <v>149</v>
      </c>
      <c r="J150" s="1">
        <v>12900</v>
      </c>
      <c r="K150" s="1">
        <f t="shared" si="12"/>
        <v>19492.785679768047</v>
      </c>
    </row>
    <row r="151" spans="1:11">
      <c r="A151">
        <v>182</v>
      </c>
      <c r="B151" s="2">
        <v>50769</v>
      </c>
      <c r="C151" s="1">
        <v>9390.48</v>
      </c>
      <c r="D151" s="1">
        <v>4624.8599999999997</v>
      </c>
      <c r="E151">
        <v>240.29</v>
      </c>
      <c r="F151">
        <v>196.14</v>
      </c>
      <c r="G151" s="1">
        <v>14451.77</v>
      </c>
      <c r="H151" s="1">
        <v>544647.13</v>
      </c>
      <c r="I151" s="1">
        <v>150</v>
      </c>
      <c r="J151" s="1">
        <v>12900</v>
      </c>
      <c r="K151" s="1">
        <f t="shared" si="12"/>
        <v>19492.785679768047</v>
      </c>
    </row>
    <row r="152" spans="1:11">
      <c r="A152">
        <v>183</v>
      </c>
      <c r="B152" s="2">
        <v>50800</v>
      </c>
      <c r="C152" s="1">
        <v>9390.48</v>
      </c>
      <c r="D152" s="1">
        <v>4546.47</v>
      </c>
      <c r="E152">
        <v>236.14</v>
      </c>
      <c r="F152">
        <v>196.14</v>
      </c>
      <c r="G152" s="1">
        <v>14369.23</v>
      </c>
      <c r="H152" s="1">
        <v>535256.64</v>
      </c>
      <c r="I152" s="1">
        <v>151</v>
      </c>
      <c r="J152" s="1">
        <v>12900</v>
      </c>
      <c r="K152" s="1">
        <f t="shared" si="12"/>
        <v>19492.785679768047</v>
      </c>
    </row>
    <row r="153" spans="1:11">
      <c r="A153">
        <v>184</v>
      </c>
      <c r="B153" s="2">
        <v>50829</v>
      </c>
      <c r="C153" s="1">
        <v>9390.48</v>
      </c>
      <c r="D153" s="1">
        <v>4468.08</v>
      </c>
      <c r="E153">
        <v>232</v>
      </c>
      <c r="F153">
        <v>196.14</v>
      </c>
      <c r="G153" s="1">
        <v>14286.7</v>
      </c>
      <c r="H153" s="1">
        <v>525866.16</v>
      </c>
      <c r="I153" s="1">
        <v>152</v>
      </c>
      <c r="J153" s="1">
        <v>12900</v>
      </c>
      <c r="K153" s="1">
        <f t="shared" si="12"/>
        <v>19492.785679768047</v>
      </c>
    </row>
    <row r="154" spans="1:11">
      <c r="A154">
        <v>185</v>
      </c>
      <c r="B154" s="2">
        <v>50859</v>
      </c>
      <c r="C154" s="1">
        <v>9390.48</v>
      </c>
      <c r="D154" s="1">
        <v>4389.7</v>
      </c>
      <c r="E154">
        <v>227.85</v>
      </c>
      <c r="F154">
        <v>196.14</v>
      </c>
      <c r="G154" s="1">
        <v>14204.17</v>
      </c>
      <c r="H154" s="1">
        <v>516475.68</v>
      </c>
      <c r="I154" s="1">
        <v>153</v>
      </c>
      <c r="J154" s="1">
        <v>12900</v>
      </c>
      <c r="K154" s="1">
        <f t="shared" si="12"/>
        <v>19492.785679768047</v>
      </c>
    </row>
    <row r="155" spans="1:11">
      <c r="A155">
        <v>186</v>
      </c>
      <c r="B155" s="2">
        <v>50890</v>
      </c>
      <c r="C155" s="1">
        <v>9390.48</v>
      </c>
      <c r="D155" s="1">
        <v>4311.3100000000004</v>
      </c>
      <c r="E155">
        <v>223.71</v>
      </c>
      <c r="F155">
        <v>196.14</v>
      </c>
      <c r="G155" s="1">
        <v>14121.64</v>
      </c>
      <c r="H155" s="1">
        <v>507085.2</v>
      </c>
      <c r="I155" s="1">
        <v>154</v>
      </c>
      <c r="J155" s="1">
        <v>12900</v>
      </c>
      <c r="K155" s="1">
        <f t="shared" si="12"/>
        <v>19492.785679768047</v>
      </c>
    </row>
    <row r="156" spans="1:11">
      <c r="A156">
        <v>187</v>
      </c>
      <c r="B156" s="2">
        <v>50920</v>
      </c>
      <c r="C156" s="1">
        <v>9390.48</v>
      </c>
      <c r="D156" s="1">
        <v>4232.92</v>
      </c>
      <c r="E156">
        <v>219.57</v>
      </c>
      <c r="F156">
        <v>196.14</v>
      </c>
      <c r="G156" s="1">
        <v>14039.11</v>
      </c>
      <c r="H156" s="1">
        <v>497694.71999999997</v>
      </c>
      <c r="I156" s="1">
        <v>155</v>
      </c>
      <c r="J156" s="1">
        <v>12900</v>
      </c>
      <c r="K156" s="1">
        <f t="shared" si="12"/>
        <v>19492.785679768047</v>
      </c>
    </row>
    <row r="157" spans="1:11">
      <c r="A157">
        <v>188</v>
      </c>
      <c r="B157" s="2">
        <v>50951</v>
      </c>
      <c r="C157" s="1">
        <v>9390.48</v>
      </c>
      <c r="D157" s="1">
        <v>4154.53</v>
      </c>
      <c r="E157">
        <v>215.43</v>
      </c>
      <c r="F157">
        <v>196.14</v>
      </c>
      <c r="G157" s="1">
        <v>13956.58</v>
      </c>
      <c r="H157" s="1">
        <v>488304.23</v>
      </c>
      <c r="I157" s="1">
        <v>156</v>
      </c>
      <c r="J157" s="1">
        <v>12900</v>
      </c>
      <c r="K157" s="1">
        <f t="shared" si="12"/>
        <v>19492.785679768047</v>
      </c>
    </row>
    <row r="158" spans="1:11">
      <c r="A158">
        <v>189</v>
      </c>
      <c r="B158" s="2">
        <v>50981</v>
      </c>
      <c r="C158" s="1">
        <v>9390.48</v>
      </c>
      <c r="D158" s="1">
        <v>4076.15</v>
      </c>
      <c r="E158">
        <v>211.29</v>
      </c>
      <c r="F158">
        <v>196.14</v>
      </c>
      <c r="G158" s="1">
        <v>13874.06</v>
      </c>
      <c r="H158" s="1">
        <v>478913.75</v>
      </c>
      <c r="I158" s="1">
        <v>157</v>
      </c>
      <c r="J158" s="1">
        <v>12900</v>
      </c>
      <c r="K158" s="1">
        <f>K157*(180-I157)*(1+$O$1)/(180-I157)</f>
        <v>20175.03317855993</v>
      </c>
    </row>
    <row r="159" spans="1:11">
      <c r="A159">
        <v>190</v>
      </c>
      <c r="B159" s="2">
        <v>51012</v>
      </c>
      <c r="C159" s="1">
        <v>9390.48</v>
      </c>
      <c r="D159" s="1">
        <v>3997.76</v>
      </c>
      <c r="E159">
        <v>207.14</v>
      </c>
      <c r="F159">
        <v>196.14</v>
      </c>
      <c r="G159" s="1">
        <v>13791.52</v>
      </c>
      <c r="H159" s="1">
        <v>469523.27</v>
      </c>
      <c r="I159" s="1">
        <v>158</v>
      </c>
      <c r="J159" s="1">
        <v>12900</v>
      </c>
      <c r="K159" s="1">
        <f>K158</f>
        <v>20175.03317855993</v>
      </c>
    </row>
    <row r="160" spans="1:11">
      <c r="A160">
        <v>191</v>
      </c>
      <c r="B160" s="2">
        <v>51043</v>
      </c>
      <c r="C160" s="1">
        <v>9390.48</v>
      </c>
      <c r="D160" s="1">
        <v>3919.37</v>
      </c>
      <c r="E160">
        <v>203</v>
      </c>
      <c r="F160">
        <v>196.14</v>
      </c>
      <c r="G160" s="1">
        <v>13708.99</v>
      </c>
      <c r="H160" s="1">
        <v>460132.79</v>
      </c>
      <c r="I160" s="1">
        <v>159</v>
      </c>
      <c r="J160" s="1">
        <v>12900</v>
      </c>
      <c r="K160" s="1">
        <f t="shared" ref="K160:K169" si="13">K159</f>
        <v>20175.03317855993</v>
      </c>
    </row>
    <row r="161" spans="1:11">
      <c r="A161">
        <v>192</v>
      </c>
      <c r="B161" s="2">
        <v>51073</v>
      </c>
      <c r="C161" s="1">
        <v>9390.48</v>
      </c>
      <c r="D161" s="1">
        <v>3840.98</v>
      </c>
      <c r="E161">
        <v>198.86</v>
      </c>
      <c r="F161">
        <v>196.14</v>
      </c>
      <c r="G161" s="1">
        <v>13626.46</v>
      </c>
      <c r="H161" s="1">
        <v>450742.31</v>
      </c>
      <c r="I161" s="1">
        <v>160</v>
      </c>
      <c r="J161" s="1">
        <v>12900</v>
      </c>
      <c r="K161" s="1">
        <f t="shared" si="13"/>
        <v>20175.03317855993</v>
      </c>
    </row>
    <row r="162" spans="1:11">
      <c r="A162">
        <v>193</v>
      </c>
      <c r="B162" s="2">
        <v>51104</v>
      </c>
      <c r="C162" s="1">
        <v>9390.48</v>
      </c>
      <c r="D162" s="1">
        <v>3762.6</v>
      </c>
      <c r="E162">
        <v>194.71</v>
      </c>
      <c r="F162">
        <v>196.14</v>
      </c>
      <c r="G162" s="1">
        <v>13543.93</v>
      </c>
      <c r="H162" s="1">
        <v>441351.82</v>
      </c>
      <c r="I162" s="1">
        <v>161</v>
      </c>
      <c r="J162" s="1">
        <v>12900</v>
      </c>
      <c r="K162" s="1">
        <f t="shared" si="13"/>
        <v>20175.03317855993</v>
      </c>
    </row>
    <row r="163" spans="1:11">
      <c r="A163">
        <v>194</v>
      </c>
      <c r="B163" s="2">
        <v>51134</v>
      </c>
      <c r="C163" s="1">
        <v>9390.48</v>
      </c>
      <c r="D163" s="1">
        <v>3684.21</v>
      </c>
      <c r="E163">
        <v>190.57</v>
      </c>
      <c r="F163">
        <v>196.14</v>
      </c>
      <c r="G163" s="1">
        <v>13461.4</v>
      </c>
      <c r="H163" s="1">
        <v>431961.34</v>
      </c>
      <c r="I163" s="1">
        <v>162</v>
      </c>
      <c r="J163" s="1">
        <v>12900</v>
      </c>
      <c r="K163" s="1">
        <f t="shared" si="13"/>
        <v>20175.03317855993</v>
      </c>
    </row>
    <row r="164" spans="1:11">
      <c r="A164">
        <v>195</v>
      </c>
      <c r="B164" s="2">
        <v>51165</v>
      </c>
      <c r="C164" s="1">
        <v>9390.48</v>
      </c>
      <c r="D164" s="1">
        <v>3605.82</v>
      </c>
      <c r="E164">
        <v>186.42</v>
      </c>
      <c r="F164">
        <v>196.14</v>
      </c>
      <c r="G164" s="1">
        <v>13378.86</v>
      </c>
      <c r="H164" s="1">
        <v>422570.86</v>
      </c>
      <c r="I164" s="1">
        <v>163</v>
      </c>
      <c r="J164" s="1">
        <v>12900</v>
      </c>
      <c r="K164" s="1">
        <f t="shared" si="13"/>
        <v>20175.03317855993</v>
      </c>
    </row>
    <row r="165" spans="1:11">
      <c r="A165">
        <v>196</v>
      </c>
      <c r="B165" s="2">
        <v>51195</v>
      </c>
      <c r="C165" s="1">
        <v>9390.48</v>
      </c>
      <c r="D165" s="1">
        <v>3527.43</v>
      </c>
      <c r="E165">
        <v>182.28</v>
      </c>
      <c r="F165">
        <v>196.14</v>
      </c>
      <c r="G165" s="1">
        <v>13296.33</v>
      </c>
      <c r="H165" s="1">
        <v>413180.38</v>
      </c>
      <c r="I165" s="1">
        <v>164</v>
      </c>
      <c r="J165" s="1">
        <v>12900</v>
      </c>
      <c r="K165" s="1">
        <f t="shared" si="13"/>
        <v>20175.03317855993</v>
      </c>
    </row>
    <row r="166" spans="1:11">
      <c r="A166">
        <v>197</v>
      </c>
      <c r="B166" s="2">
        <v>51225</v>
      </c>
      <c r="C166" s="1">
        <v>9390.48</v>
      </c>
      <c r="D166" s="1">
        <v>3449.05</v>
      </c>
      <c r="E166">
        <v>178.14</v>
      </c>
      <c r="F166">
        <v>196.14</v>
      </c>
      <c r="G166" s="1">
        <v>13213.81</v>
      </c>
      <c r="H166" s="1">
        <v>403789.9</v>
      </c>
      <c r="I166" s="1">
        <v>165</v>
      </c>
      <c r="J166" s="1">
        <v>12900</v>
      </c>
      <c r="K166" s="1">
        <f t="shared" si="13"/>
        <v>20175.03317855993</v>
      </c>
    </row>
    <row r="167" spans="1:11">
      <c r="A167">
        <v>198</v>
      </c>
      <c r="B167" s="2">
        <v>51256</v>
      </c>
      <c r="C167" s="1">
        <v>9390.48</v>
      </c>
      <c r="D167" s="1">
        <v>3370.66</v>
      </c>
      <c r="E167">
        <v>174</v>
      </c>
      <c r="F167">
        <v>196.14</v>
      </c>
      <c r="G167" s="1">
        <v>13131.28</v>
      </c>
      <c r="H167" s="1">
        <v>394399.41</v>
      </c>
      <c r="I167" s="1">
        <v>166</v>
      </c>
      <c r="J167" s="1">
        <v>12900</v>
      </c>
      <c r="K167" s="1">
        <f t="shared" si="13"/>
        <v>20175.03317855993</v>
      </c>
    </row>
    <row r="168" spans="1:11">
      <c r="A168">
        <v>199</v>
      </c>
      <c r="B168" s="2">
        <v>51286</v>
      </c>
      <c r="C168" s="1">
        <v>9390.48</v>
      </c>
      <c r="D168" s="1">
        <v>3292.27</v>
      </c>
      <c r="E168">
        <v>169.86</v>
      </c>
      <c r="F168">
        <v>196.14</v>
      </c>
      <c r="G168" s="1">
        <v>13048.75</v>
      </c>
      <c r="H168" s="1">
        <v>385008.93</v>
      </c>
      <c r="I168" s="1">
        <v>167</v>
      </c>
      <c r="J168" s="1">
        <v>12900</v>
      </c>
      <c r="K168" s="1">
        <f t="shared" si="13"/>
        <v>20175.03317855993</v>
      </c>
    </row>
    <row r="169" spans="1:11">
      <c r="A169">
        <v>200</v>
      </c>
      <c r="B169" s="2">
        <v>51317</v>
      </c>
      <c r="C169" s="1">
        <v>9390.48</v>
      </c>
      <c r="D169" s="1">
        <v>3213.88</v>
      </c>
      <c r="E169">
        <v>165.72</v>
      </c>
      <c r="F169">
        <v>196.14</v>
      </c>
      <c r="G169" s="1">
        <v>12966.22</v>
      </c>
      <c r="H169" s="1">
        <v>375618.45</v>
      </c>
      <c r="I169" s="1">
        <v>168</v>
      </c>
      <c r="J169" s="1">
        <v>12900</v>
      </c>
      <c r="K169" s="1">
        <f t="shared" si="13"/>
        <v>20175.03317855993</v>
      </c>
    </row>
    <row r="170" spans="1:11">
      <c r="A170">
        <v>201</v>
      </c>
      <c r="B170" s="2">
        <v>51347</v>
      </c>
      <c r="C170" s="1">
        <v>9390.48</v>
      </c>
      <c r="D170" s="1">
        <v>3135.5</v>
      </c>
      <c r="E170">
        <v>161.57</v>
      </c>
      <c r="F170">
        <v>196.14</v>
      </c>
      <c r="G170" s="1">
        <v>12883.69</v>
      </c>
      <c r="H170" s="1">
        <v>366227.97</v>
      </c>
      <c r="I170" s="1">
        <v>169</v>
      </c>
      <c r="J170" s="1">
        <v>12900</v>
      </c>
      <c r="K170" s="1">
        <f>K169*(180-I169)*(1+$O$1)/(180-I169)</f>
        <v>20881.159339809528</v>
      </c>
    </row>
    <row r="171" spans="1:11">
      <c r="A171">
        <v>202</v>
      </c>
      <c r="B171" s="2">
        <v>51378</v>
      </c>
      <c r="C171" s="1">
        <v>9390.48</v>
      </c>
      <c r="D171" s="1">
        <v>3057.11</v>
      </c>
      <c r="E171">
        <v>157.43</v>
      </c>
      <c r="F171">
        <v>196.14</v>
      </c>
      <c r="G171" s="1">
        <v>12801.16</v>
      </c>
      <c r="H171" s="1">
        <v>356837.48</v>
      </c>
      <c r="I171" s="1">
        <v>170</v>
      </c>
      <c r="J171" s="1">
        <v>12900</v>
      </c>
      <c r="K171" s="1">
        <f>K170</f>
        <v>20881.159339809528</v>
      </c>
    </row>
    <row r="172" spans="1:11">
      <c r="A172">
        <v>203</v>
      </c>
      <c r="B172" s="2">
        <v>51409</v>
      </c>
      <c r="C172" s="1">
        <v>9390.48</v>
      </c>
      <c r="D172" s="1">
        <v>2978.72</v>
      </c>
      <c r="E172">
        <v>153.28</v>
      </c>
      <c r="F172">
        <v>196.14</v>
      </c>
      <c r="G172" s="1">
        <v>12718.62</v>
      </c>
      <c r="H172" s="1">
        <v>347447</v>
      </c>
      <c r="I172" s="1">
        <v>171</v>
      </c>
      <c r="J172" s="1">
        <v>12900</v>
      </c>
      <c r="K172" s="1">
        <f t="shared" ref="K172:K181" si="14">K171</f>
        <v>20881.159339809528</v>
      </c>
    </row>
    <row r="173" spans="1:11">
      <c r="A173">
        <v>204</v>
      </c>
      <c r="B173" s="2">
        <v>51439</v>
      </c>
      <c r="C173" s="1">
        <v>9390.48</v>
      </c>
      <c r="D173" s="1">
        <v>2900.33</v>
      </c>
      <c r="E173">
        <v>149.13999999999999</v>
      </c>
      <c r="F173">
        <v>196.14</v>
      </c>
      <c r="G173" s="1">
        <v>12636.09</v>
      </c>
      <c r="H173" s="1">
        <v>338056.52</v>
      </c>
      <c r="I173" s="1">
        <v>172</v>
      </c>
      <c r="J173" s="1">
        <v>12900</v>
      </c>
      <c r="K173" s="1">
        <f t="shared" si="14"/>
        <v>20881.159339809528</v>
      </c>
    </row>
    <row r="174" spans="1:11">
      <c r="A174">
        <v>205</v>
      </c>
      <c r="B174" s="2">
        <v>51470</v>
      </c>
      <c r="C174" s="1">
        <v>9390.48</v>
      </c>
      <c r="D174" s="1">
        <v>2821.95</v>
      </c>
      <c r="E174">
        <v>145</v>
      </c>
      <c r="F174">
        <v>196.14</v>
      </c>
      <c r="G174" s="1">
        <v>12553.57</v>
      </c>
      <c r="H174" s="1">
        <v>328666.03999999998</v>
      </c>
      <c r="I174" s="1">
        <v>173</v>
      </c>
      <c r="J174" s="1">
        <v>12900</v>
      </c>
      <c r="K174" s="1">
        <f t="shared" si="14"/>
        <v>20881.159339809528</v>
      </c>
    </row>
    <row r="175" spans="1:11">
      <c r="A175">
        <v>206</v>
      </c>
      <c r="B175" s="2">
        <v>51500</v>
      </c>
      <c r="C175" s="1">
        <v>9390.48</v>
      </c>
      <c r="D175" s="1">
        <v>2743.56</v>
      </c>
      <c r="E175">
        <v>140.85</v>
      </c>
      <c r="F175">
        <v>196.14</v>
      </c>
      <c r="G175" s="1">
        <v>12471.03</v>
      </c>
      <c r="H175" s="1">
        <v>319275.56</v>
      </c>
      <c r="I175" s="1">
        <v>174</v>
      </c>
      <c r="J175" s="1">
        <v>12900</v>
      </c>
      <c r="K175" s="1">
        <f t="shared" si="14"/>
        <v>20881.159339809528</v>
      </c>
    </row>
    <row r="176" spans="1:11">
      <c r="A176">
        <v>207</v>
      </c>
      <c r="B176" s="2">
        <v>51531</v>
      </c>
      <c r="C176" s="1">
        <v>9390.48</v>
      </c>
      <c r="D176" s="1">
        <v>2665.17</v>
      </c>
      <c r="E176">
        <v>136.72</v>
      </c>
      <c r="F176">
        <v>196.14</v>
      </c>
      <c r="G176" s="1">
        <v>12388.51</v>
      </c>
      <c r="H176" s="1">
        <v>309885.07</v>
      </c>
      <c r="I176" s="1">
        <v>175</v>
      </c>
      <c r="J176" s="1">
        <v>12900</v>
      </c>
      <c r="K176" s="1">
        <f t="shared" si="14"/>
        <v>20881.159339809528</v>
      </c>
    </row>
    <row r="177" spans="1:11">
      <c r="A177">
        <v>208</v>
      </c>
      <c r="B177" s="2">
        <v>51560</v>
      </c>
      <c r="C177" s="1">
        <v>9390.48</v>
      </c>
      <c r="D177" s="1">
        <v>2586.7800000000002</v>
      </c>
      <c r="E177">
        <v>132.57</v>
      </c>
      <c r="F177">
        <v>196.14</v>
      </c>
      <c r="G177" s="1">
        <v>12305.97</v>
      </c>
      <c r="H177" s="1">
        <v>300494.59000000003</v>
      </c>
      <c r="I177" s="1">
        <v>176</v>
      </c>
      <c r="J177" s="1">
        <v>12900</v>
      </c>
      <c r="K177" s="1">
        <f t="shared" si="14"/>
        <v>20881.159339809528</v>
      </c>
    </row>
    <row r="178" spans="1:11">
      <c r="A178">
        <v>209</v>
      </c>
      <c r="B178" s="2">
        <v>51590</v>
      </c>
      <c r="C178" s="1">
        <v>9390.48</v>
      </c>
      <c r="D178" s="1">
        <v>2508.4</v>
      </c>
      <c r="E178">
        <v>128.43</v>
      </c>
      <c r="F178">
        <v>196.14</v>
      </c>
      <c r="G178" s="1">
        <v>12223.45</v>
      </c>
      <c r="H178" s="1">
        <v>291104.11</v>
      </c>
      <c r="I178" s="1">
        <v>177</v>
      </c>
      <c r="J178" s="1">
        <v>12900</v>
      </c>
      <c r="K178" s="1">
        <f t="shared" si="14"/>
        <v>20881.159339809528</v>
      </c>
    </row>
    <row r="179" spans="1:11">
      <c r="A179">
        <v>210</v>
      </c>
      <c r="B179" s="2">
        <v>51621</v>
      </c>
      <c r="C179" s="1">
        <v>9390.48</v>
      </c>
      <c r="D179" s="1">
        <v>2430.0100000000002</v>
      </c>
      <c r="E179">
        <v>124.29</v>
      </c>
      <c r="F179">
        <v>196.14</v>
      </c>
      <c r="G179" s="1">
        <v>12140.92</v>
      </c>
      <c r="H179" s="1">
        <v>281713.63</v>
      </c>
      <c r="I179" s="1">
        <v>178</v>
      </c>
      <c r="J179" s="1">
        <v>12900</v>
      </c>
      <c r="K179" s="1">
        <f t="shared" si="14"/>
        <v>20881.159339809528</v>
      </c>
    </row>
    <row r="180" spans="1:11">
      <c r="A180">
        <v>211</v>
      </c>
      <c r="B180" s="2">
        <v>51651</v>
      </c>
      <c r="C180" s="1">
        <v>9390.48</v>
      </c>
      <c r="D180" s="1">
        <v>2351.62</v>
      </c>
      <c r="E180">
        <v>120.14</v>
      </c>
      <c r="F180">
        <v>196.14</v>
      </c>
      <c r="G180" s="1">
        <v>12058.38</v>
      </c>
      <c r="H180" s="1">
        <v>272323.15000000002</v>
      </c>
      <c r="I180" s="1">
        <v>179</v>
      </c>
      <c r="J180" s="1">
        <v>12900</v>
      </c>
      <c r="K180" s="1">
        <f t="shared" si="14"/>
        <v>20881.159339809528</v>
      </c>
    </row>
    <row r="181" spans="1:11">
      <c r="A181">
        <v>212</v>
      </c>
      <c r="B181" s="2">
        <v>51682</v>
      </c>
      <c r="C181" s="1">
        <v>9390.48</v>
      </c>
      <c r="D181" s="1">
        <v>2273.23</v>
      </c>
      <c r="E181">
        <v>116</v>
      </c>
      <c r="F181">
        <v>196.14</v>
      </c>
      <c r="G181" s="1">
        <v>11975.85</v>
      </c>
      <c r="H181" s="1">
        <v>262932.65999999997</v>
      </c>
      <c r="I181" s="1">
        <v>180</v>
      </c>
      <c r="J181" s="1">
        <v>12900</v>
      </c>
      <c r="K181" s="1">
        <f t="shared" si="14"/>
        <v>20881.159339809528</v>
      </c>
    </row>
    <row r="182" spans="1:11">
      <c r="A182">
        <v>213</v>
      </c>
      <c r="B182" s="2">
        <v>51712</v>
      </c>
      <c r="C182" s="1">
        <v>9390.48</v>
      </c>
      <c r="D182" s="1">
        <v>2194.85</v>
      </c>
      <c r="E182">
        <v>111.85</v>
      </c>
      <c r="F182">
        <v>196.14</v>
      </c>
      <c r="G182" s="1">
        <v>11893.32</v>
      </c>
      <c r="H182" s="1">
        <v>253542.18</v>
      </c>
      <c r="I182" s="1"/>
      <c r="J182" s="1"/>
      <c r="K182" s="1"/>
    </row>
    <row r="183" spans="1:11">
      <c r="A183">
        <v>214</v>
      </c>
      <c r="B183" s="2">
        <v>51743</v>
      </c>
      <c r="C183" s="1">
        <v>9390.48</v>
      </c>
      <c r="D183" s="1">
        <v>2116.46</v>
      </c>
      <c r="E183">
        <v>107.71</v>
      </c>
      <c r="F183">
        <v>196.14</v>
      </c>
      <c r="G183" s="1">
        <v>11810.79</v>
      </c>
      <c r="H183" s="1">
        <v>244151.7</v>
      </c>
      <c r="I183" s="1"/>
      <c r="J183" s="1">
        <f>SUM(J2:J182)</f>
        <v>2322000</v>
      </c>
      <c r="K183" s="1">
        <f>SUM(K2:K182)</f>
        <v>2986971.400012407</v>
      </c>
    </row>
    <row r="184" spans="1:11">
      <c r="A184">
        <v>215</v>
      </c>
      <c r="B184" s="2">
        <v>51774</v>
      </c>
      <c r="C184" s="1">
        <v>9390.48</v>
      </c>
      <c r="D184" s="1">
        <v>2038.07</v>
      </c>
      <c r="E184">
        <v>103.57</v>
      </c>
      <c r="F184">
        <v>196.14</v>
      </c>
      <c r="G184" s="1">
        <v>11728.26</v>
      </c>
      <c r="H184" s="1">
        <v>234761.22</v>
      </c>
      <c r="I184" s="1"/>
      <c r="J184" s="1"/>
      <c r="K184" s="1"/>
    </row>
    <row r="185" spans="1:11">
      <c r="A185">
        <v>216</v>
      </c>
      <c r="B185" s="2">
        <v>51804</v>
      </c>
      <c r="C185" s="1">
        <v>9390.48</v>
      </c>
      <c r="D185" s="1">
        <v>1959.68</v>
      </c>
      <c r="E185">
        <v>99.42</v>
      </c>
      <c r="F185">
        <v>196.14</v>
      </c>
      <c r="G185" s="1">
        <v>11645.72</v>
      </c>
      <c r="H185" s="1">
        <v>225370.74</v>
      </c>
      <c r="I185" s="1"/>
      <c r="J185" s="1"/>
      <c r="K185" s="1"/>
    </row>
    <row r="186" spans="1:11">
      <c r="A186">
        <v>217</v>
      </c>
      <c r="B186" s="2">
        <v>51835</v>
      </c>
      <c r="C186" s="1">
        <v>9390.48</v>
      </c>
      <c r="D186" s="1">
        <v>1881.29</v>
      </c>
      <c r="E186">
        <v>95.29</v>
      </c>
      <c r="F186">
        <v>196.14</v>
      </c>
      <c r="G186" s="1">
        <v>11563.2</v>
      </c>
      <c r="H186" s="1">
        <v>215980.25</v>
      </c>
      <c r="I186" s="1"/>
      <c r="J186" s="1"/>
      <c r="K186" s="1"/>
    </row>
    <row r="187" spans="1:11">
      <c r="A187">
        <v>218</v>
      </c>
      <c r="B187" s="2">
        <v>51865</v>
      </c>
      <c r="C187" s="1">
        <v>9390.48</v>
      </c>
      <c r="D187" s="1">
        <v>1802.91</v>
      </c>
      <c r="E187">
        <v>91.15</v>
      </c>
      <c r="F187">
        <v>196.14</v>
      </c>
      <c r="G187" s="1">
        <v>11480.68</v>
      </c>
      <c r="H187" s="1">
        <v>206589.77</v>
      </c>
      <c r="I187" s="1"/>
      <c r="J187" s="1"/>
      <c r="K187" s="1"/>
    </row>
    <row r="188" spans="1:11">
      <c r="A188">
        <v>219</v>
      </c>
      <c r="B188" s="2">
        <v>51896</v>
      </c>
      <c r="C188" s="1">
        <v>9390.48</v>
      </c>
      <c r="D188" s="1">
        <v>1724.52</v>
      </c>
      <c r="E188">
        <v>87</v>
      </c>
      <c r="F188">
        <v>196.14</v>
      </c>
      <c r="G188" s="1">
        <v>11398.14</v>
      </c>
      <c r="H188" s="1">
        <v>197199.29</v>
      </c>
      <c r="I188" s="1"/>
      <c r="J188" s="1"/>
      <c r="K188" s="1"/>
    </row>
    <row r="189" spans="1:11">
      <c r="A189">
        <v>220</v>
      </c>
      <c r="B189" s="2">
        <v>51925</v>
      </c>
      <c r="C189" s="1">
        <v>9390.48</v>
      </c>
      <c r="D189" s="1">
        <v>1646.13</v>
      </c>
      <c r="E189">
        <v>82.86</v>
      </c>
      <c r="F189">
        <v>196.14</v>
      </c>
      <c r="G189" s="1">
        <v>11315.61</v>
      </c>
      <c r="H189" s="1">
        <v>187808.81</v>
      </c>
      <c r="I189" s="1"/>
      <c r="J189" s="1"/>
      <c r="K189" s="1"/>
    </row>
    <row r="190" spans="1:11">
      <c r="A190">
        <v>221</v>
      </c>
      <c r="B190" s="2">
        <v>51955</v>
      </c>
      <c r="C190" s="1">
        <v>9390.48</v>
      </c>
      <c r="D190" s="1">
        <v>1567.74</v>
      </c>
      <c r="E190">
        <v>78.709999999999994</v>
      </c>
      <c r="F190">
        <v>196.14</v>
      </c>
      <c r="G190" s="1">
        <v>11233.07</v>
      </c>
      <c r="H190" s="1">
        <v>178418.33</v>
      </c>
      <c r="I190" s="1"/>
      <c r="J190" s="1"/>
      <c r="K190" s="1"/>
    </row>
    <row r="191" spans="1:11">
      <c r="A191">
        <v>222</v>
      </c>
      <c r="B191" s="2">
        <v>51986</v>
      </c>
      <c r="C191" s="1">
        <v>9390.48</v>
      </c>
      <c r="D191" s="1">
        <v>1489.36</v>
      </c>
      <c r="E191">
        <v>74.569999999999993</v>
      </c>
      <c r="F191">
        <v>196.14</v>
      </c>
      <c r="G191" s="1">
        <v>11150.55</v>
      </c>
      <c r="H191" s="1">
        <v>169027.84</v>
      </c>
      <c r="I191" s="1"/>
      <c r="J191" s="1"/>
      <c r="K191" s="1"/>
    </row>
    <row r="192" spans="1:11">
      <c r="A192">
        <v>223</v>
      </c>
      <c r="B192" s="2">
        <v>52016</v>
      </c>
      <c r="C192" s="1">
        <v>9390.48</v>
      </c>
      <c r="D192" s="1">
        <v>1410.97</v>
      </c>
      <c r="E192">
        <v>70.430000000000007</v>
      </c>
      <c r="F192">
        <v>196.14</v>
      </c>
      <c r="G192" s="1">
        <v>11068.02</v>
      </c>
      <c r="H192" s="1">
        <v>159637.35999999999</v>
      </c>
      <c r="I192" s="1"/>
      <c r="J192" s="1"/>
      <c r="K192" s="1"/>
    </row>
    <row r="193" spans="1:11">
      <c r="A193">
        <v>224</v>
      </c>
      <c r="B193" s="2">
        <v>52047</v>
      </c>
      <c r="C193" s="1">
        <v>9390.48</v>
      </c>
      <c r="D193" s="1">
        <v>1332.58</v>
      </c>
      <c r="E193">
        <v>66.28</v>
      </c>
      <c r="F193">
        <v>196.14</v>
      </c>
      <c r="G193" s="1">
        <v>10985.48</v>
      </c>
      <c r="H193" s="1">
        <v>150246.88</v>
      </c>
      <c r="I193" s="1"/>
      <c r="J193" s="1"/>
      <c r="K193" s="1"/>
    </row>
    <row r="194" spans="1:11">
      <c r="A194">
        <v>225</v>
      </c>
      <c r="B194" s="2">
        <v>52077</v>
      </c>
      <c r="C194" s="1">
        <v>9390.48</v>
      </c>
      <c r="D194" s="1">
        <v>1254.19</v>
      </c>
      <c r="E194">
        <v>62.14</v>
      </c>
      <c r="F194">
        <v>196.14</v>
      </c>
      <c r="G194" s="1">
        <v>10902.95</v>
      </c>
      <c r="H194" s="1">
        <v>140856.4</v>
      </c>
      <c r="I194" s="1"/>
      <c r="J194" s="1"/>
    </row>
    <row r="195" spans="1:11">
      <c r="A195">
        <v>226</v>
      </c>
      <c r="B195" s="2">
        <v>52108</v>
      </c>
      <c r="C195" s="1">
        <v>9390.48</v>
      </c>
      <c r="D195" s="1">
        <v>1175.81</v>
      </c>
      <c r="E195">
        <v>58</v>
      </c>
      <c r="F195">
        <v>196.14</v>
      </c>
      <c r="G195" s="1">
        <v>10820.43</v>
      </c>
      <c r="H195" s="1">
        <v>131465.91</v>
      </c>
      <c r="I195" s="1"/>
      <c r="J195" s="1"/>
    </row>
    <row r="196" spans="1:11">
      <c r="A196">
        <v>227</v>
      </c>
      <c r="B196" s="2">
        <v>52139</v>
      </c>
      <c r="C196" s="1">
        <v>9390.48</v>
      </c>
      <c r="D196" s="1">
        <v>1097.42</v>
      </c>
      <c r="E196">
        <v>53.86</v>
      </c>
      <c r="F196">
        <v>196.14</v>
      </c>
      <c r="G196" s="1">
        <v>10737.9</v>
      </c>
      <c r="H196" s="1">
        <v>122075.43</v>
      </c>
      <c r="I196" s="1"/>
      <c r="J196" s="1"/>
    </row>
    <row r="197" spans="1:11">
      <c r="A197">
        <v>228</v>
      </c>
      <c r="B197" s="2">
        <v>52169</v>
      </c>
      <c r="C197" s="1">
        <v>9390.48</v>
      </c>
      <c r="D197" s="1">
        <v>1019.03</v>
      </c>
      <c r="E197">
        <v>49.72</v>
      </c>
      <c r="F197">
        <v>196.14</v>
      </c>
      <c r="G197" s="1">
        <v>10655.37</v>
      </c>
      <c r="H197" s="1">
        <v>112684.95</v>
      </c>
      <c r="I197" s="1"/>
      <c r="J197" s="1"/>
    </row>
    <row r="198" spans="1:11">
      <c r="A198">
        <v>229</v>
      </c>
      <c r="B198" s="2">
        <v>52200</v>
      </c>
      <c r="C198" s="1">
        <v>9390.48</v>
      </c>
      <c r="D198">
        <v>940.64</v>
      </c>
      <c r="E198">
        <v>45.57</v>
      </c>
      <c r="F198">
        <v>196.14</v>
      </c>
      <c r="G198" s="1">
        <v>10572.83</v>
      </c>
      <c r="H198" s="1">
        <v>103294.47</v>
      </c>
      <c r="I198" s="1"/>
      <c r="J198" s="1"/>
    </row>
    <row r="199" spans="1:11">
      <c r="A199">
        <v>230</v>
      </c>
      <c r="B199" s="2">
        <v>52230</v>
      </c>
      <c r="C199" s="1">
        <v>9390.48</v>
      </c>
      <c r="D199">
        <v>862.26</v>
      </c>
      <c r="E199">
        <v>41.43</v>
      </c>
      <c r="F199">
        <v>196.14</v>
      </c>
      <c r="G199" s="1">
        <v>10490.31</v>
      </c>
      <c r="H199" s="1">
        <v>93903.99</v>
      </c>
      <c r="I199" s="1"/>
      <c r="J199" s="1"/>
    </row>
    <row r="200" spans="1:11">
      <c r="A200">
        <v>231</v>
      </c>
      <c r="B200" s="2">
        <v>52261</v>
      </c>
      <c r="C200" s="1">
        <v>9390.48</v>
      </c>
      <c r="D200">
        <v>783.87</v>
      </c>
      <c r="E200">
        <v>37.28</v>
      </c>
      <c r="F200">
        <v>196.14</v>
      </c>
      <c r="G200" s="1">
        <v>10407.77</v>
      </c>
      <c r="H200" s="1">
        <v>84513.5</v>
      </c>
      <c r="I200" s="1"/>
      <c r="J200" s="1"/>
    </row>
    <row r="201" spans="1:11">
      <c r="A201">
        <v>232</v>
      </c>
      <c r="B201" s="2">
        <v>52290</v>
      </c>
      <c r="C201" s="1">
        <v>9390.48</v>
      </c>
      <c r="D201">
        <v>705.48</v>
      </c>
      <c r="E201">
        <v>33.14</v>
      </c>
      <c r="F201">
        <v>196.14</v>
      </c>
      <c r="G201" s="1">
        <v>10325.24</v>
      </c>
      <c r="H201" s="1">
        <v>75123.02</v>
      </c>
      <c r="I201" s="1"/>
      <c r="J201" s="1"/>
    </row>
    <row r="202" spans="1:11">
      <c r="A202">
        <v>233</v>
      </c>
      <c r="B202" s="2">
        <v>52320</v>
      </c>
      <c r="C202" s="1">
        <v>9390.48</v>
      </c>
      <c r="D202">
        <v>627.09</v>
      </c>
      <c r="E202">
        <v>29</v>
      </c>
      <c r="F202">
        <v>196.14</v>
      </c>
      <c r="G202" s="1">
        <v>10242.709999999999</v>
      </c>
      <c r="H202" s="1">
        <v>65732.539999999994</v>
      </c>
      <c r="I202" s="1"/>
      <c r="J202" s="1"/>
    </row>
    <row r="203" spans="1:11">
      <c r="A203">
        <v>234</v>
      </c>
      <c r="B203" s="2">
        <v>52351</v>
      </c>
      <c r="C203" s="1">
        <v>9390.48</v>
      </c>
      <c r="D203">
        <v>548.71</v>
      </c>
      <c r="E203">
        <v>24.85</v>
      </c>
      <c r="F203">
        <v>196.14</v>
      </c>
      <c r="G203" s="1">
        <v>10160.18</v>
      </c>
      <c r="H203" s="1">
        <v>56342.06</v>
      </c>
      <c r="I203" s="1"/>
      <c r="J203" s="1"/>
    </row>
    <row r="204" spans="1:11">
      <c r="A204">
        <v>235</v>
      </c>
      <c r="B204" s="2">
        <v>52381</v>
      </c>
      <c r="C204" s="1">
        <v>9390.48</v>
      </c>
      <c r="D204">
        <v>470.32</v>
      </c>
      <c r="E204">
        <v>20.71</v>
      </c>
      <c r="F204">
        <v>196.14</v>
      </c>
      <c r="G204" s="1">
        <v>10077.65</v>
      </c>
      <c r="H204" s="1">
        <v>46951.58</v>
      </c>
      <c r="I204" s="1"/>
      <c r="J204" s="1"/>
    </row>
    <row r="205" spans="1:11">
      <c r="A205">
        <v>236</v>
      </c>
      <c r="B205" s="2">
        <v>52412</v>
      </c>
      <c r="C205" s="1">
        <v>9390.48</v>
      </c>
      <c r="D205">
        <v>391.93</v>
      </c>
      <c r="E205">
        <v>16.579999999999998</v>
      </c>
      <c r="F205">
        <v>196.14</v>
      </c>
      <c r="G205" s="1">
        <v>9995.1299999999992</v>
      </c>
      <c r="H205" s="1">
        <v>37561.089999999997</v>
      </c>
      <c r="I205" s="1"/>
      <c r="J205" s="1"/>
    </row>
    <row r="206" spans="1:11">
      <c r="A206">
        <v>237</v>
      </c>
      <c r="B206" s="2">
        <v>52442</v>
      </c>
      <c r="C206" s="1">
        <v>9390.48</v>
      </c>
      <c r="D206">
        <v>313.54000000000002</v>
      </c>
      <c r="E206">
        <v>12.43</v>
      </c>
      <c r="F206">
        <v>196.14</v>
      </c>
      <c r="G206" s="1">
        <v>9912.59</v>
      </c>
      <c r="H206" s="1">
        <v>28170.61</v>
      </c>
      <c r="I206" s="1"/>
      <c r="J206" s="1"/>
    </row>
    <row r="207" spans="1:11">
      <c r="A207">
        <v>238</v>
      </c>
      <c r="B207" s="2">
        <v>52473</v>
      </c>
      <c r="C207" s="1">
        <v>9390.48</v>
      </c>
      <c r="D207">
        <v>235.16</v>
      </c>
      <c r="E207">
        <v>8.2899999999999991</v>
      </c>
      <c r="F207">
        <v>196.14</v>
      </c>
      <c r="G207" s="1">
        <v>9830.07</v>
      </c>
      <c r="H207" s="1">
        <v>18780.13</v>
      </c>
      <c r="I207" s="1"/>
      <c r="J207" s="1"/>
    </row>
    <row r="208" spans="1:11">
      <c r="A208">
        <v>239</v>
      </c>
      <c r="B208" s="2">
        <v>52504</v>
      </c>
      <c r="C208" s="1">
        <v>9390.48</v>
      </c>
      <c r="D208">
        <v>156.77000000000001</v>
      </c>
      <c r="E208">
        <v>4.1399999999999997</v>
      </c>
      <c r="F208">
        <v>196.14</v>
      </c>
      <c r="G208" s="1">
        <v>9747.5300000000007</v>
      </c>
      <c r="H208" s="1">
        <v>9389.65</v>
      </c>
      <c r="I208" s="1"/>
      <c r="J208" s="1"/>
      <c r="K208" s="1"/>
    </row>
    <row r="209" spans="1:11">
      <c r="A209">
        <v>240</v>
      </c>
      <c r="B209" s="2">
        <v>52534</v>
      </c>
      <c r="C209" s="1">
        <v>9389.65</v>
      </c>
      <c r="D209">
        <v>78.38</v>
      </c>
      <c r="E209">
        <v>0</v>
      </c>
      <c r="F209">
        <v>0</v>
      </c>
      <c r="G209" s="1">
        <v>9468.0300000000007</v>
      </c>
      <c r="H209">
        <v>0</v>
      </c>
      <c r="I209" s="1"/>
      <c r="J209" s="1"/>
      <c r="K209" s="1"/>
    </row>
    <row r="210" spans="1:11">
      <c r="A210">
        <v>240</v>
      </c>
      <c r="B210" s="2">
        <v>52534</v>
      </c>
      <c r="C210" s="1">
        <v>9389.65</v>
      </c>
      <c r="D210">
        <v>78.38</v>
      </c>
      <c r="E210">
        <v>0</v>
      </c>
      <c r="F210">
        <v>0</v>
      </c>
      <c r="G210" s="1">
        <v>9468.0300000000007</v>
      </c>
      <c r="H210">
        <v>0</v>
      </c>
      <c r="I210" s="1"/>
      <c r="J210" s="1"/>
      <c r="K210" s="1"/>
    </row>
    <row r="212" spans="1:11">
      <c r="G212" s="1">
        <f>SUM(G2:G211)</f>
        <v>3796306.0599999996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Saraiva</dc:creator>
  <cp:lastModifiedBy>Nawana</cp:lastModifiedBy>
  <dcterms:created xsi:type="dcterms:W3CDTF">2026-06-29T15:07:53Z</dcterms:created>
  <dcterms:modified xsi:type="dcterms:W3CDTF">2026-07-01T12:19:37Z</dcterms:modified>
</cp:coreProperties>
</file>